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Scorecard combiné" sheetId="2" state="visible" r:id="rId2"/>
    <sheet xmlns:r="http://schemas.openxmlformats.org/officeDocument/2006/relationships" name="Comportement détail" sheetId="3" state="visible" r:id="rId3"/>
    <sheet xmlns:r="http://schemas.openxmlformats.org/officeDocument/2006/relationships" name="Consommation dé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6"/>
      <sz val="10"/>
    </font>
    <font>
      <name val="Arial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applyAlignment="1" pivotButton="0" quotePrefix="0" xfId="0">
      <alignment horizontal="right"/>
    </xf>
    <xf numFmtId="0" fontId="3" fillId="5" borderId="1" pivotButton="0" quotePrefix="0" xfId="0"/>
    <xf numFmtId="0" fontId="4" fillId="5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58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10858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858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10858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858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10858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858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10858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SCORECARD FLOTTE — ADVANS
Période : 01/05/2026 → 31/05/2026  |  Comafrique Technologies — Support Tracking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5">
      <c r="A5" s="3" t="inlineStr">
        <is>
          <t>Indicateur</t>
        </is>
      </c>
      <c r="B5" s="3" t="inlineStr">
        <is>
          <t>Valeur</t>
        </is>
      </c>
    </row>
    <row r="6">
      <c r="A6" s="4" t="inlineStr">
        <is>
          <t>Véhicules (total)</t>
        </is>
      </c>
      <c r="B6" s="5" t="n">
        <v>58</v>
      </c>
    </row>
    <row r="7">
      <c r="A7" s="6" t="inlineStr">
        <is>
          <t>Véhicules notés Ecodrive</t>
        </is>
      </c>
      <c r="B7" s="7" t="n">
        <v>51</v>
      </c>
    </row>
    <row r="8">
      <c r="A8" s="4" t="inlineStr">
        <is>
          <t>Véhicules avec données carburant</t>
        </is>
      </c>
      <c r="B8" s="5" t="n">
        <v>23</v>
      </c>
    </row>
    <row r="9">
      <c r="A9" s="6" t="inlineStr">
        <is>
          <t>Conducteurs</t>
        </is>
      </c>
      <c r="B9" s="7" t="n">
        <v>72</v>
      </c>
    </row>
    <row r="10">
      <c r="A10" s="4" t="inlineStr">
        <is>
          <t>Distance totale (km)</t>
        </is>
      </c>
      <c r="B10" s="5" t="n">
        <v>101051</v>
      </c>
    </row>
    <row r="11">
      <c r="A11" s="6" t="inlineStr">
        <is>
          <t>Carburant total (L)</t>
        </is>
      </c>
      <c r="B11" s="7" t="n">
        <v>4870</v>
      </c>
    </row>
    <row r="12">
      <c r="A12" s="4" t="inlineStr">
        <is>
          <t>Score moyen flotte (%)</t>
        </is>
      </c>
      <c r="B12" s="5" t="n">
        <v>77.59999999999999</v>
      </c>
    </row>
    <row r="13">
      <c r="A13" s="6" t="inlineStr">
        <is>
          <t>Conso moyenne (L/100km)</t>
        </is>
      </c>
      <c r="B13" s="7" t="n">
        <v>16.4</v>
      </c>
    </row>
    <row r="14">
      <c r="A14" s="4" t="inlineStr">
        <is>
          <t>Événements brusques (total)</t>
        </is>
      </c>
      <c r="B14" s="5" t="n">
        <v>23323</v>
      </c>
    </row>
    <row r="15">
      <c r="A15" s="6" t="inlineStr">
        <is>
          <t>Brusques moy. /100km</t>
        </is>
      </c>
      <c r="B15" s="7" t="n">
        <v>21</v>
      </c>
    </row>
    <row r="16">
      <c r="A16" s="4" t="inlineStr">
        <is>
          <t>Véhicules à risque (Poor/Risk)</t>
        </is>
      </c>
      <c r="B16" s="5" t="n">
        <v>4</v>
      </c>
    </row>
    <row r="17">
      <c r="A17" s="6" t="inlineStr">
        <is>
          <t>Conso suspecte (capteur)</t>
        </is>
      </c>
      <c r="B17" s="7" t="n">
        <v>3</v>
      </c>
    </row>
  </sheetData>
  <mergeCells count="1">
    <mergeCell ref="A1:D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SCORECARD FLOTTE — ADVANS
Période : 01/05/2026 → 31/05/2026  |  Comafrique Technologies — Support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A5" s="3" t="inlineStr">
        <is>
          <t>Véhicule</t>
        </is>
      </c>
      <c r="B5" s="3" t="inlineStr">
        <is>
          <t>Conducteurs</t>
        </is>
      </c>
      <c r="C5" s="3" t="inlineStr">
        <is>
          <t>Distance (km)</t>
        </is>
      </c>
      <c r="D5" s="3" t="inlineStr">
        <is>
          <t>Score (%)</t>
        </is>
      </c>
      <c r="E5" s="3" t="inlineStr">
        <is>
          <t>Label</t>
        </is>
      </c>
      <c r="F5" s="3" t="inlineStr">
        <is>
          <t>Conso (L/100km)</t>
        </is>
      </c>
      <c r="G5" s="3" t="inlineStr">
        <is>
          <t>Carburant (L)</t>
        </is>
      </c>
      <c r="H5" s="3" t="inlineStr">
        <is>
          <t>Évén. brusques</t>
        </is>
      </c>
      <c r="I5" s="3" t="inlineStr">
        <is>
          <t>Brusques/100km</t>
        </is>
      </c>
      <c r="J5" s="3" t="inlineStr">
        <is>
          <t>Excès (min)</t>
        </is>
      </c>
    </row>
    <row r="6">
      <c r="A6" s="8" t="inlineStr">
        <is>
          <t>490LX01 MITSUBISHI L200</t>
        </is>
      </c>
      <c r="B6" s="9" t="n">
        <v>2</v>
      </c>
      <c r="C6" s="9" t="n">
        <v>4559.6</v>
      </c>
      <c r="D6" s="9" t="n">
        <v>77.59999999999999</v>
      </c>
      <c r="E6" s="9" t="inlineStr">
        <is>
          <t>Good</t>
        </is>
      </c>
      <c r="F6" s="9" t="n"/>
      <c r="G6" s="9" t="n">
        <v>0</v>
      </c>
      <c r="H6" s="9" t="n">
        <v>952</v>
      </c>
      <c r="I6" s="9" t="n">
        <v>20.9</v>
      </c>
      <c r="J6" s="9" t="n">
        <v>2868</v>
      </c>
    </row>
    <row r="7">
      <c r="A7" s="10" t="inlineStr">
        <is>
          <t>2740KP01 MITSUBISHI L200</t>
        </is>
      </c>
      <c r="B7" s="11" t="n">
        <v>2</v>
      </c>
      <c r="C7" s="11" t="n">
        <v>4116</v>
      </c>
      <c r="D7" s="11" t="n">
        <v>87</v>
      </c>
      <c r="E7" s="11" t="inlineStr">
        <is>
          <t>Excellent</t>
        </is>
      </c>
      <c r="F7" s="11" t="n"/>
      <c r="G7" s="11" t="n">
        <v>0</v>
      </c>
      <c r="H7" s="11" t="n">
        <v>1002</v>
      </c>
      <c r="I7" s="11" t="n">
        <v>24.3</v>
      </c>
      <c r="J7" s="11" t="n">
        <v>0</v>
      </c>
    </row>
    <row r="8">
      <c r="A8" s="8" t="inlineStr">
        <is>
          <t>AA956FZ NISSAN NAVARA</t>
        </is>
      </c>
      <c r="B8" s="9" t="n">
        <v>7</v>
      </c>
      <c r="C8" s="9" t="n">
        <v>3717.2</v>
      </c>
      <c r="D8" s="9" t="n">
        <v>26.8</v>
      </c>
      <c r="E8" s="9" t="inlineStr">
        <is>
          <t>Risk</t>
        </is>
      </c>
      <c r="F8" s="9" t="n">
        <v>13.2</v>
      </c>
      <c r="G8" s="9" t="n">
        <v>491.4</v>
      </c>
      <c r="H8" s="9" t="n">
        <v>1248</v>
      </c>
      <c r="I8" s="9" t="n">
        <v>33.6</v>
      </c>
      <c r="J8" s="9" t="n">
        <v>1780.2</v>
      </c>
    </row>
    <row r="9">
      <c r="A9" s="10" t="inlineStr">
        <is>
          <t>AB168AV - ISUZU DMAX</t>
        </is>
      </c>
      <c r="B9" s="11" t="n">
        <v>2</v>
      </c>
      <c r="C9" s="11" t="n">
        <v>3667.4</v>
      </c>
      <c r="D9" s="11" t="n">
        <v>82.5</v>
      </c>
      <c r="E9" s="11" t="inlineStr">
        <is>
          <t>Excellent</t>
        </is>
      </c>
      <c r="F9" s="11" t="n"/>
      <c r="G9" s="11" t="n">
        <v>0</v>
      </c>
      <c r="H9" s="11" t="n">
        <v>602</v>
      </c>
      <c r="I9" s="11" t="n">
        <v>16.4</v>
      </c>
      <c r="J9" s="11" t="n">
        <v>0</v>
      </c>
    </row>
    <row r="10">
      <c r="A10" s="8" t="inlineStr">
        <is>
          <t>493LX01 MITSUBISHI L200</t>
        </is>
      </c>
      <c r="B10" s="9" t="n">
        <v>4</v>
      </c>
      <c r="C10" s="9" t="n">
        <v>3637.4</v>
      </c>
      <c r="D10" s="9" t="n">
        <v>78.5</v>
      </c>
      <c r="E10" s="9" t="inlineStr">
        <is>
          <t>Good</t>
        </is>
      </c>
      <c r="F10" s="9" t="n"/>
      <c r="G10" s="9" t="n">
        <v>0</v>
      </c>
      <c r="H10" s="9" t="n">
        <v>2048</v>
      </c>
      <c r="I10" s="9" t="n">
        <v>56.3</v>
      </c>
      <c r="J10" s="9" t="n">
        <v>5086.2</v>
      </c>
    </row>
    <row r="11">
      <c r="A11" s="10" t="inlineStr">
        <is>
          <t>2924LH01 MITSUBISHI L200</t>
        </is>
      </c>
      <c r="B11" s="11" t="n">
        <v>1</v>
      </c>
      <c r="C11" s="11" t="n">
        <v>3579.7</v>
      </c>
      <c r="D11" s="11" t="n">
        <v>69</v>
      </c>
      <c r="E11" s="11" t="inlineStr">
        <is>
          <t>Good</t>
        </is>
      </c>
      <c r="F11" s="11" t="n"/>
      <c r="G11" s="11" t="n">
        <v>0</v>
      </c>
      <c r="H11" s="11" t="n">
        <v>1081</v>
      </c>
      <c r="I11" s="11" t="n">
        <v>30.2</v>
      </c>
      <c r="J11" s="11" t="n">
        <v>0</v>
      </c>
    </row>
    <row r="12">
      <c r="A12" s="8" t="inlineStr">
        <is>
          <t>AA831KH CHERY TIGGO 2 PRO</t>
        </is>
      </c>
      <c r="B12" s="9" t="n"/>
      <c r="C12" s="9" t="n">
        <v>3370.4</v>
      </c>
      <c r="D12" s="9" t="n"/>
      <c r="E12" s="9" t="n"/>
      <c r="F12" s="9" t="n">
        <v>8.4</v>
      </c>
      <c r="G12" s="9" t="n">
        <v>281.8</v>
      </c>
      <c r="H12" s="9" t="n">
        <v>0</v>
      </c>
      <c r="I12" s="9" t="n">
        <v>0</v>
      </c>
      <c r="J12" s="9" t="n"/>
    </row>
    <row r="13">
      <c r="A13" s="10" t="inlineStr">
        <is>
          <t>492LX01 Mitsubishi	L200</t>
        </is>
      </c>
      <c r="B13" s="11" t="n">
        <v>1</v>
      </c>
      <c r="C13" s="11" t="n">
        <v>3195.8</v>
      </c>
      <c r="D13" s="11" t="n">
        <v>74</v>
      </c>
      <c r="E13" s="11" t="inlineStr">
        <is>
          <t>Good</t>
        </is>
      </c>
      <c r="F13" s="11" t="n"/>
      <c r="G13" s="11" t="n">
        <v>0</v>
      </c>
      <c r="H13" s="11" t="n">
        <v>754</v>
      </c>
      <c r="I13" s="11" t="n">
        <v>23.6</v>
      </c>
      <c r="J13" s="11" t="n">
        <v>0</v>
      </c>
    </row>
    <row r="14">
      <c r="A14" s="8" t="inlineStr">
        <is>
          <t>494LX01 MITSUBISHI L200</t>
        </is>
      </c>
      <c r="B14" s="9" t="n">
        <v>4</v>
      </c>
      <c r="C14" s="9" t="n">
        <v>3185</v>
      </c>
      <c r="D14" s="9" t="n">
        <v>58.2</v>
      </c>
      <c r="E14" s="9" t="inlineStr">
        <is>
          <t>Average</t>
        </is>
      </c>
      <c r="F14" s="9" t="n"/>
      <c r="G14" s="9" t="n">
        <v>0</v>
      </c>
      <c r="H14" s="9" t="n">
        <v>4035</v>
      </c>
      <c r="I14" s="9" t="n">
        <v>126.7</v>
      </c>
      <c r="J14" s="9" t="n">
        <v>0</v>
      </c>
    </row>
    <row r="15">
      <c r="A15" s="10" t="inlineStr">
        <is>
          <t>AA362RJ MITSUBISHI L200</t>
        </is>
      </c>
      <c r="B15" s="11" t="n">
        <v>1</v>
      </c>
      <c r="C15" s="11" t="n">
        <v>3165.1</v>
      </c>
      <c r="D15" s="11" t="n">
        <v>99</v>
      </c>
      <c r="E15" s="11" t="inlineStr">
        <is>
          <t>Excellent</t>
        </is>
      </c>
      <c r="F15" s="11" t="n">
        <v>13.5</v>
      </c>
      <c r="G15" s="11" t="n">
        <v>428.2</v>
      </c>
      <c r="H15" s="11" t="n">
        <v>0</v>
      </c>
      <c r="I15" s="11" t="n">
        <v>0</v>
      </c>
      <c r="J15" s="11" t="n">
        <v>0</v>
      </c>
    </row>
    <row r="16">
      <c r="A16" s="8" t="inlineStr">
        <is>
          <t>903WWCI01 MITSUBISHI ECLIPSE</t>
        </is>
      </c>
      <c r="B16" s="9" t="n"/>
      <c r="C16" s="9" t="n">
        <v>3120.4</v>
      </c>
      <c r="D16" s="9" t="n"/>
      <c r="E16" s="9" t="n"/>
      <c r="F16" s="9" t="n"/>
      <c r="G16" s="9" t="n">
        <v>0</v>
      </c>
      <c r="H16" s="9" t="n">
        <v>0</v>
      </c>
      <c r="I16" s="9" t="n">
        <v>0</v>
      </c>
      <c r="J16" s="9" t="n"/>
    </row>
    <row r="17">
      <c r="A17" s="10" t="inlineStr">
        <is>
          <t>AA326AZ ISUZU D-MAX</t>
        </is>
      </c>
      <c r="B17" s="11" t="n">
        <v>2</v>
      </c>
      <c r="C17" s="11" t="n">
        <v>3102.6</v>
      </c>
      <c r="D17" s="11" t="n">
        <v>96.59999999999999</v>
      </c>
      <c r="E17" s="11" t="inlineStr">
        <is>
          <t>Excellent</t>
        </is>
      </c>
      <c r="F17" s="11" t="n"/>
      <c r="G17" s="11" t="n">
        <v>0</v>
      </c>
      <c r="H17" s="11" t="n">
        <v>89</v>
      </c>
      <c r="I17" s="11" t="n">
        <v>2.9</v>
      </c>
      <c r="J17" s="11" t="n">
        <v>328.8</v>
      </c>
    </row>
    <row r="18">
      <c r="A18" s="8" t="inlineStr">
        <is>
          <t>909WWCI01 Mitsubishi L200</t>
        </is>
      </c>
      <c r="B18" s="9" t="n">
        <v>1</v>
      </c>
      <c r="C18" s="9" t="n">
        <v>2709.8</v>
      </c>
      <c r="D18" s="9" t="n">
        <v>77</v>
      </c>
      <c r="E18" s="9" t="inlineStr">
        <is>
          <t>Good</t>
        </is>
      </c>
      <c r="F18" s="9" t="n">
        <v>17.7</v>
      </c>
      <c r="G18" s="9" t="n">
        <v>479.2</v>
      </c>
      <c r="H18" s="9" t="n">
        <v>541</v>
      </c>
      <c r="I18" s="9" t="n">
        <v>20</v>
      </c>
      <c r="J18" s="9" t="n">
        <v>798</v>
      </c>
    </row>
    <row r="19">
      <c r="A19" s="10" t="inlineStr">
        <is>
          <t>779LG01 RENAULT DUSTER</t>
        </is>
      </c>
      <c r="B19" s="11" t="n">
        <v>1</v>
      </c>
      <c r="C19" s="11" t="n">
        <v>2583.4</v>
      </c>
      <c r="D19" s="11" t="n">
        <v>85</v>
      </c>
      <c r="E19" s="11" t="inlineStr">
        <is>
          <t>Excellent</t>
        </is>
      </c>
      <c r="F19" s="11" t="n">
        <v>8.9</v>
      </c>
      <c r="G19" s="11" t="n">
        <v>228.9</v>
      </c>
      <c r="H19" s="11" t="n">
        <v>214</v>
      </c>
      <c r="I19" s="11" t="n">
        <v>8.300000000000001</v>
      </c>
      <c r="J19" s="11" t="n">
        <v>3367.2</v>
      </c>
    </row>
    <row r="20">
      <c r="A20" s="8" t="inlineStr">
        <is>
          <t>AA338EY TOYOTA URBAN CRUISER</t>
        </is>
      </c>
      <c r="B20" s="9" t="n">
        <v>3</v>
      </c>
      <c r="C20" s="9" t="n">
        <v>2537.1</v>
      </c>
      <c r="D20" s="9" t="n">
        <v>76.8</v>
      </c>
      <c r="E20" s="9" t="inlineStr">
        <is>
          <t>Good</t>
        </is>
      </c>
      <c r="F20" s="9" t="n"/>
      <c r="G20" s="9" t="n">
        <v>0</v>
      </c>
      <c r="H20" s="9" t="n">
        <v>524</v>
      </c>
      <c r="I20" s="9" t="n">
        <v>20.7</v>
      </c>
      <c r="J20" s="9" t="n">
        <v>1645.2</v>
      </c>
    </row>
    <row r="21">
      <c r="A21" s="10" t="inlineStr">
        <is>
          <t>AA537RK MITSUBISHI ASX</t>
        </is>
      </c>
      <c r="B21" s="11" t="n">
        <v>3</v>
      </c>
      <c r="C21" s="11" t="n">
        <v>2521.1</v>
      </c>
      <c r="D21" s="11" t="n">
        <v>76.2</v>
      </c>
      <c r="E21" s="11" t="inlineStr">
        <is>
          <t>Good</t>
        </is>
      </c>
      <c r="F21" s="11" t="n"/>
      <c r="G21" s="11" t="n">
        <v>0</v>
      </c>
      <c r="H21" s="11" t="n">
        <v>848</v>
      </c>
      <c r="I21" s="11" t="n">
        <v>33.6</v>
      </c>
      <c r="J21" s="11" t="n">
        <v>2673</v>
      </c>
    </row>
    <row r="22">
      <c r="A22" s="8" t="inlineStr">
        <is>
          <t>AA609HK Volkswagen Caddy</t>
        </is>
      </c>
      <c r="B22" s="9" t="n">
        <v>6</v>
      </c>
      <c r="C22" s="9" t="n">
        <v>2334.9</v>
      </c>
      <c r="D22" s="9" t="n">
        <v>87.90000000000001</v>
      </c>
      <c r="E22" s="9" t="inlineStr">
        <is>
          <t>Excellent</t>
        </is>
      </c>
      <c r="F22" s="9" t="n">
        <v>7.8</v>
      </c>
      <c r="G22" s="9" t="n">
        <v>181</v>
      </c>
      <c r="H22" s="9" t="n">
        <v>472</v>
      </c>
      <c r="I22" s="9" t="n">
        <v>20.2</v>
      </c>
      <c r="J22" s="9" t="n">
        <v>1078.8</v>
      </c>
    </row>
    <row r="23">
      <c r="A23" s="10" t="inlineStr">
        <is>
          <t>2352LC01 MITSUBISHI L200</t>
        </is>
      </c>
      <c r="B23" s="11" t="n">
        <v>1</v>
      </c>
      <c r="C23" s="11" t="n">
        <v>2284</v>
      </c>
      <c r="D23" s="11" t="n">
        <v>65</v>
      </c>
      <c r="E23" s="11" t="inlineStr">
        <is>
          <t>Good</t>
        </is>
      </c>
      <c r="F23" s="11" t="n"/>
      <c r="G23" s="11" t="n">
        <v>0</v>
      </c>
      <c r="H23" s="11" t="n">
        <v>729</v>
      </c>
      <c r="I23" s="11" t="n">
        <v>31.9</v>
      </c>
      <c r="J23" s="11" t="n">
        <v>1164</v>
      </c>
    </row>
    <row r="24">
      <c r="A24" s="8" t="inlineStr">
        <is>
          <t>904WWCI01 MITSUBISHI ECLIPSE CROSS</t>
        </is>
      </c>
      <c r="B24" s="9" t="n"/>
      <c r="C24" s="9" t="n">
        <v>2281.7</v>
      </c>
      <c r="D24" s="9" t="n"/>
      <c r="E24" s="9" t="n"/>
      <c r="F24" s="9" t="n"/>
      <c r="G24" s="9" t="n">
        <v>0</v>
      </c>
      <c r="H24" s="9" t="n">
        <v>0</v>
      </c>
      <c r="I24" s="9" t="n">
        <v>0</v>
      </c>
      <c r="J24" s="9" t="n"/>
    </row>
    <row r="25">
      <c r="A25" s="10" t="inlineStr">
        <is>
          <t>AB592AZ MITSUBISHI L200</t>
        </is>
      </c>
      <c r="B25" s="11" t="n"/>
      <c r="C25" s="11" t="n">
        <v>2224.7</v>
      </c>
      <c r="D25" s="11" t="n"/>
      <c r="E25" s="11" t="n"/>
      <c r="F25" s="11" t="n">
        <v>14.1</v>
      </c>
      <c r="G25" s="11" t="n">
        <v>313.1</v>
      </c>
      <c r="H25" s="11" t="n">
        <v>0</v>
      </c>
      <c r="I25" s="11" t="n">
        <v>0</v>
      </c>
      <c r="J25" s="11" t="n"/>
    </row>
    <row r="26">
      <c r="A26" s="8" t="inlineStr">
        <is>
          <t>2722LU01 MITSUBISHI ASX</t>
        </is>
      </c>
      <c r="B26" s="9" t="n">
        <v>1</v>
      </c>
      <c r="C26" s="9" t="n">
        <v>2214.9</v>
      </c>
      <c r="D26" s="9" t="n">
        <v>87</v>
      </c>
      <c r="E26" s="9" t="inlineStr">
        <is>
          <t>Excellent</t>
        </is>
      </c>
      <c r="F26" s="9" t="n"/>
      <c r="G26" s="9" t="n">
        <v>0</v>
      </c>
      <c r="H26" s="9" t="n">
        <v>222</v>
      </c>
      <c r="I26" s="9" t="n">
        <v>10</v>
      </c>
      <c r="J26" s="9" t="n">
        <v>324</v>
      </c>
    </row>
    <row r="27">
      <c r="A27" s="10" t="inlineStr">
        <is>
          <t>AA323AZ   ISUZU D-MAX</t>
        </is>
      </c>
      <c r="B27" s="11" t="n">
        <v>1</v>
      </c>
      <c r="C27" s="11" t="n">
        <v>2007.1</v>
      </c>
      <c r="D27" s="11" t="n">
        <v>83</v>
      </c>
      <c r="E27" s="11" t="inlineStr">
        <is>
          <t>Excellent</t>
        </is>
      </c>
      <c r="F27" s="11" t="n"/>
      <c r="G27" s="11" t="n">
        <v>0</v>
      </c>
      <c r="H27" s="11" t="n">
        <v>325</v>
      </c>
      <c r="I27" s="11" t="n">
        <v>16.2</v>
      </c>
      <c r="J27" s="11" t="n">
        <v>0</v>
      </c>
    </row>
    <row r="28">
      <c r="A28" s="8" t="inlineStr">
        <is>
          <t>3649LP01 Renault DUSTER</t>
        </is>
      </c>
      <c r="B28" s="9" t="n">
        <v>1</v>
      </c>
      <c r="C28" s="9" t="n">
        <v>1931.5</v>
      </c>
      <c r="D28" s="9" t="n">
        <v>87</v>
      </c>
      <c r="E28" s="9" t="inlineStr">
        <is>
          <t>Excellent</t>
        </is>
      </c>
      <c r="F28" s="9" t="n">
        <v>7.8</v>
      </c>
      <c r="G28" s="9" t="n">
        <v>150</v>
      </c>
      <c r="H28" s="9" t="n">
        <v>146</v>
      </c>
      <c r="I28" s="9" t="n">
        <v>7.6</v>
      </c>
      <c r="J28" s="9" t="n">
        <v>4779</v>
      </c>
    </row>
    <row r="29">
      <c r="A29" s="10" t="inlineStr">
        <is>
          <t>3648LP01 Renault DUSTER</t>
        </is>
      </c>
      <c r="B29" s="11" t="n"/>
      <c r="C29" s="11" t="n">
        <v>1878.6</v>
      </c>
      <c r="D29" s="11" t="n"/>
      <c r="E29" s="11" t="n"/>
      <c r="F29" s="11" t="n">
        <v>10.7</v>
      </c>
      <c r="G29" s="11" t="n">
        <v>201.7</v>
      </c>
      <c r="H29" s="11" t="n">
        <v>0</v>
      </c>
      <c r="I29" s="11" t="n">
        <v>0</v>
      </c>
      <c r="J29" s="11" t="n"/>
    </row>
    <row r="30">
      <c r="A30" s="8" t="inlineStr">
        <is>
          <t>907WWCI01 Mitsubishi L200</t>
        </is>
      </c>
      <c r="B30" s="9" t="n">
        <v>2</v>
      </c>
      <c r="C30" s="9" t="n">
        <v>1839.3</v>
      </c>
      <c r="D30" s="9" t="n">
        <v>47.5</v>
      </c>
      <c r="E30" s="9" t="inlineStr">
        <is>
          <t>Average</t>
        </is>
      </c>
      <c r="F30" s="9" t="n">
        <v>15.1</v>
      </c>
      <c r="G30" s="9" t="n">
        <v>278.2</v>
      </c>
      <c r="H30" s="9" t="n">
        <v>845</v>
      </c>
      <c r="I30" s="9" t="n">
        <v>45.9</v>
      </c>
      <c r="J30" s="9" t="n">
        <v>3337.2</v>
      </c>
    </row>
    <row r="31">
      <c r="A31" s="10" t="inlineStr">
        <is>
          <t>1927LF01 NISSAN MICRA</t>
        </is>
      </c>
      <c r="B31" s="11" t="n">
        <v>1</v>
      </c>
      <c r="C31" s="11" t="n">
        <v>1815.4</v>
      </c>
      <c r="D31" s="11" t="n">
        <v>68</v>
      </c>
      <c r="E31" s="11" t="inlineStr">
        <is>
          <t>Good</t>
        </is>
      </c>
      <c r="F31" s="11" t="n">
        <v>22.3</v>
      </c>
      <c r="G31" s="11" t="n">
        <v>404.2</v>
      </c>
      <c r="H31" s="11" t="n">
        <v>550</v>
      </c>
      <c r="I31" s="11" t="n">
        <v>30.3</v>
      </c>
      <c r="J31" s="11" t="n">
        <v>33</v>
      </c>
    </row>
    <row r="32">
      <c r="A32" s="8" t="inlineStr">
        <is>
          <t>3782LU01 Suzuki Dzire</t>
        </is>
      </c>
      <c r="B32" s="9" t="n">
        <v>4</v>
      </c>
      <c r="C32" s="9" t="n">
        <v>1765.7</v>
      </c>
      <c r="D32" s="9" t="n">
        <v>87.59999999999999</v>
      </c>
      <c r="E32" s="9" t="inlineStr">
        <is>
          <t>Excellent</t>
        </is>
      </c>
      <c r="F32" s="9" t="n"/>
      <c r="G32" s="9" t="n">
        <v>0</v>
      </c>
      <c r="H32" s="9" t="n">
        <v>290</v>
      </c>
      <c r="I32" s="9" t="n">
        <v>16.4</v>
      </c>
      <c r="J32" s="9" t="n">
        <v>236.4</v>
      </c>
    </row>
    <row r="33">
      <c r="A33" s="10" t="inlineStr">
        <is>
          <t>AA307RJ MITSUBISHI ASX</t>
        </is>
      </c>
      <c r="B33" s="11" t="n">
        <v>2</v>
      </c>
      <c r="C33" s="11" t="n">
        <v>1720.4</v>
      </c>
      <c r="D33" s="11" t="n">
        <v>85.40000000000001</v>
      </c>
      <c r="E33" s="11" t="inlineStr">
        <is>
          <t>Excellent</t>
        </is>
      </c>
      <c r="F33" s="11" t="n"/>
      <c r="G33" s="11" t="n">
        <v>0</v>
      </c>
      <c r="H33" s="11" t="n">
        <v>266</v>
      </c>
      <c r="I33" s="11" t="n">
        <v>15.5</v>
      </c>
      <c r="J33" s="11" t="n">
        <v>6819.6</v>
      </c>
    </row>
    <row r="34">
      <c r="A34" s="8" t="inlineStr">
        <is>
          <t>AA533SB MITSUBISHI ASX</t>
        </is>
      </c>
      <c r="B34" s="9" t="n">
        <v>1</v>
      </c>
      <c r="C34" s="9" t="n">
        <v>1654.6</v>
      </c>
      <c r="D34" s="9" t="n">
        <v>72</v>
      </c>
      <c r="E34" s="9" t="inlineStr">
        <is>
          <t>Good</t>
        </is>
      </c>
      <c r="F34" s="9" t="n"/>
      <c r="G34" s="9" t="n">
        <v>0</v>
      </c>
      <c r="H34" s="9" t="n">
        <v>391</v>
      </c>
      <c r="I34" s="9" t="n">
        <v>23.6</v>
      </c>
      <c r="J34" s="9" t="n">
        <v>78</v>
      </c>
    </row>
    <row r="35">
      <c r="A35" s="10" t="inlineStr">
        <is>
          <t>AA364EY TOYOTA URBAN CRUISER</t>
        </is>
      </c>
      <c r="B35" s="11" t="n">
        <v>2</v>
      </c>
      <c r="C35" s="11" t="n">
        <v>1626.8</v>
      </c>
      <c r="D35" s="11" t="n">
        <v>49.7</v>
      </c>
      <c r="E35" s="11" t="inlineStr">
        <is>
          <t>Average</t>
        </is>
      </c>
      <c r="F35" s="11" t="n"/>
      <c r="G35" s="11" t="n">
        <v>0</v>
      </c>
      <c r="H35" s="11" t="n">
        <v>994</v>
      </c>
      <c r="I35" s="11" t="n">
        <v>61.1</v>
      </c>
      <c r="J35" s="11" t="n">
        <v>354</v>
      </c>
    </row>
    <row r="36">
      <c r="A36" s="8" t="inlineStr">
        <is>
          <t>AA889EZ TOYOTA URBAN Cruiser</t>
        </is>
      </c>
      <c r="B36" s="9" t="n">
        <v>1</v>
      </c>
      <c r="C36" s="9" t="n">
        <v>1621</v>
      </c>
      <c r="D36" s="9" t="n">
        <v>82</v>
      </c>
      <c r="E36" s="9" t="inlineStr">
        <is>
          <t>Excellent</t>
        </is>
      </c>
      <c r="F36" s="9" t="n"/>
      <c r="G36" s="9" t="n">
        <v>0</v>
      </c>
      <c r="H36" s="9" t="n">
        <v>217</v>
      </c>
      <c r="I36" s="9" t="n">
        <v>13.4</v>
      </c>
      <c r="J36" s="9" t="n">
        <v>490.2</v>
      </c>
    </row>
    <row r="37">
      <c r="A37" s="10" t="inlineStr">
        <is>
          <t>3919LF01 RENAULT DUSTER</t>
        </is>
      </c>
      <c r="B37" s="11" t="n">
        <v>1</v>
      </c>
      <c r="C37" s="11" t="n">
        <v>1572.9</v>
      </c>
      <c r="D37" s="11" t="n">
        <v>83</v>
      </c>
      <c r="E37" s="11" t="inlineStr">
        <is>
          <t>Excellent</t>
        </is>
      </c>
      <c r="F37" s="11" t="n">
        <v>11.7</v>
      </c>
      <c r="G37" s="11" t="n">
        <v>183.3</v>
      </c>
      <c r="H37" s="11" t="n">
        <v>176</v>
      </c>
      <c r="I37" s="11" t="n">
        <v>11.2</v>
      </c>
      <c r="J37" s="11" t="n">
        <v>1156.2</v>
      </c>
    </row>
    <row r="38">
      <c r="A38" s="8" t="inlineStr">
        <is>
          <t>AA309RJ MITSUBISHI ASX</t>
        </is>
      </c>
      <c r="B38" s="9" t="n">
        <v>2</v>
      </c>
      <c r="C38" s="9" t="n">
        <v>1484.4</v>
      </c>
      <c r="D38" s="9" t="n">
        <v>82.90000000000001</v>
      </c>
      <c r="E38" s="9" t="inlineStr">
        <is>
          <t>Poor</t>
        </is>
      </c>
      <c r="F38" s="9" t="n"/>
      <c r="G38" s="9" t="n">
        <v>0</v>
      </c>
      <c r="H38" s="9" t="n">
        <v>253</v>
      </c>
      <c r="I38" s="9" t="n">
        <v>17</v>
      </c>
      <c r="J38" s="9" t="n">
        <v>175.2</v>
      </c>
    </row>
    <row r="39">
      <c r="A39" s="10" t="inlineStr">
        <is>
          <t>1923LF01 NISSAN MICRA</t>
        </is>
      </c>
      <c r="B39" s="11" t="n">
        <v>1</v>
      </c>
      <c r="C39" s="11" t="n">
        <v>1234.1</v>
      </c>
      <c r="D39" s="11" t="n">
        <v>93</v>
      </c>
      <c r="E39" s="11" t="inlineStr">
        <is>
          <t>Excellent</t>
        </is>
      </c>
      <c r="F39" s="11" t="n">
        <v>21.8</v>
      </c>
      <c r="G39" s="11" t="n">
        <v>269.6</v>
      </c>
      <c r="H39" s="11" t="n">
        <v>57</v>
      </c>
      <c r="I39" s="11" t="n">
        <v>4.6</v>
      </c>
      <c r="J39" s="11" t="n">
        <v>106.8</v>
      </c>
    </row>
    <row r="40">
      <c r="A40" s="8" t="inlineStr">
        <is>
          <t>AA529SB Mitsubishi ASX</t>
        </is>
      </c>
      <c r="B40" s="9" t="n">
        <v>1</v>
      </c>
      <c r="C40" s="9" t="n">
        <v>1183.1</v>
      </c>
      <c r="D40" s="9" t="n">
        <v>84</v>
      </c>
      <c r="E40" s="9" t="inlineStr">
        <is>
          <t>Excellent</t>
        </is>
      </c>
      <c r="F40" s="9" t="n"/>
      <c r="G40" s="9" t="n">
        <v>0</v>
      </c>
      <c r="H40" s="9" t="n">
        <v>122</v>
      </c>
      <c r="I40" s="9" t="n">
        <v>10.3</v>
      </c>
      <c r="J40" s="9" t="n">
        <v>0</v>
      </c>
    </row>
    <row r="41">
      <c r="A41" s="10" t="inlineStr">
        <is>
          <t>491LX01 Mitsubishi L200</t>
        </is>
      </c>
      <c r="B41" s="11" t="n">
        <v>2</v>
      </c>
      <c r="C41" s="11" t="n">
        <v>1103.1</v>
      </c>
      <c r="D41" s="11" t="n">
        <v>83.5</v>
      </c>
      <c r="E41" s="11" t="inlineStr">
        <is>
          <t>Excellent</t>
        </is>
      </c>
      <c r="F41" s="11" t="n"/>
      <c r="G41" s="11" t="n">
        <v>0</v>
      </c>
      <c r="H41" s="11" t="n">
        <v>321</v>
      </c>
      <c r="I41" s="11" t="n">
        <v>29.1</v>
      </c>
      <c r="J41" s="11" t="n">
        <v>386.4</v>
      </c>
    </row>
    <row r="42">
      <c r="A42" s="8" t="inlineStr">
        <is>
          <t>AA612QA Suzuki GRAND Vitara</t>
        </is>
      </c>
      <c r="B42" s="9" t="n">
        <v>1</v>
      </c>
      <c r="C42" s="9" t="n">
        <v>1080.2</v>
      </c>
      <c r="D42" s="9" t="n">
        <v>41</v>
      </c>
      <c r="E42" s="9" t="inlineStr">
        <is>
          <t>Average</t>
        </is>
      </c>
      <c r="F42" s="9" t="n"/>
      <c r="G42" s="9" t="n">
        <v>0</v>
      </c>
      <c r="H42" s="9" t="n">
        <v>535</v>
      </c>
      <c r="I42" s="9" t="n">
        <v>49.5</v>
      </c>
      <c r="J42" s="9" t="n">
        <v>181.8</v>
      </c>
    </row>
    <row r="43">
      <c r="A43" s="10" t="inlineStr">
        <is>
          <t>905WWCI01 MITSUBISHI ECLIPSE</t>
        </is>
      </c>
      <c r="B43" s="11" t="n">
        <v>1</v>
      </c>
      <c r="C43" s="11" t="n">
        <v>1018.8</v>
      </c>
      <c r="D43" s="11" t="n">
        <v>76</v>
      </c>
      <c r="E43" s="11" t="inlineStr">
        <is>
          <t>Good</t>
        </is>
      </c>
      <c r="F43" s="11" t="n"/>
      <c r="G43" s="11" t="n">
        <v>0</v>
      </c>
      <c r="H43" s="11" t="n">
        <v>203</v>
      </c>
      <c r="I43" s="11" t="n">
        <v>19.9</v>
      </c>
      <c r="J43" s="11" t="n">
        <v>183</v>
      </c>
    </row>
    <row r="44">
      <c r="A44" s="8" t="inlineStr">
        <is>
          <t>AA885EZ Toyota Belta</t>
        </is>
      </c>
      <c r="B44" s="9" t="n">
        <v>3</v>
      </c>
      <c r="C44" s="9" t="n">
        <v>922.1</v>
      </c>
      <c r="D44" s="9" t="n">
        <v>79.90000000000001</v>
      </c>
      <c r="E44" s="9" t="inlineStr">
        <is>
          <t>Good</t>
        </is>
      </c>
      <c r="F44" s="9" t="n"/>
      <c r="G44" s="9" t="n">
        <v>0</v>
      </c>
      <c r="H44" s="9" t="n">
        <v>145</v>
      </c>
      <c r="I44" s="9" t="n">
        <v>15.7</v>
      </c>
      <c r="J44" s="9" t="n">
        <v>120</v>
      </c>
    </row>
    <row r="45">
      <c r="A45" s="10" t="inlineStr">
        <is>
          <t>AA744FC SUZUKI DZIRE</t>
        </is>
      </c>
      <c r="B45" s="11" t="n">
        <v>4</v>
      </c>
      <c r="C45" s="11" t="n">
        <v>898.2</v>
      </c>
      <c r="D45" s="11" t="n">
        <v>81.2</v>
      </c>
      <c r="E45" s="11" t="inlineStr">
        <is>
          <t>Poor</t>
        </is>
      </c>
      <c r="F45" s="11" t="n"/>
      <c r="G45" s="11" t="n">
        <v>0</v>
      </c>
      <c r="H45" s="11" t="n">
        <v>119</v>
      </c>
      <c r="I45" s="11" t="n">
        <v>13.2</v>
      </c>
      <c r="J45" s="11" t="n">
        <v>0</v>
      </c>
    </row>
    <row r="46">
      <c r="A46" s="8" t="inlineStr">
        <is>
          <t>607LE01 NISSAN MICRA</t>
        </is>
      </c>
      <c r="B46" s="9" t="n">
        <v>3</v>
      </c>
      <c r="C46" s="9" t="n">
        <v>896</v>
      </c>
      <c r="D46" s="9" t="n">
        <v>79.59999999999999</v>
      </c>
      <c r="E46" s="9" t="inlineStr">
        <is>
          <t>Good</t>
        </is>
      </c>
      <c r="F46" s="9" t="n">
        <v>24.2</v>
      </c>
      <c r="G46" s="9" t="n">
        <v>217.2</v>
      </c>
      <c r="H46" s="9" t="n">
        <v>354</v>
      </c>
      <c r="I46" s="9" t="n">
        <v>39.5</v>
      </c>
      <c r="J46" s="9" t="n">
        <v>0</v>
      </c>
    </row>
    <row r="47">
      <c r="A47" s="10" t="inlineStr">
        <is>
          <t>1925LF01 NISSAN MICRA</t>
        </is>
      </c>
      <c r="B47" s="11" t="n">
        <v>2</v>
      </c>
      <c r="C47" s="11" t="n">
        <v>833.5</v>
      </c>
      <c r="D47" s="11" t="n">
        <v>86.2</v>
      </c>
      <c r="E47" s="11" t="inlineStr">
        <is>
          <t>Excellent</t>
        </is>
      </c>
      <c r="F47" s="11" t="n">
        <v>22.2</v>
      </c>
      <c r="G47" s="11" t="n">
        <v>184.8</v>
      </c>
      <c r="H47" s="11" t="n">
        <v>140</v>
      </c>
      <c r="I47" s="11" t="n">
        <v>16.8</v>
      </c>
      <c r="J47" s="11" t="n">
        <v>0</v>
      </c>
    </row>
    <row r="48">
      <c r="A48" s="8" t="inlineStr">
        <is>
          <t>AA878EZ TOYOTA BELTA</t>
        </is>
      </c>
      <c r="B48" s="9" t="n">
        <v>1</v>
      </c>
      <c r="C48" s="9" t="n">
        <v>768.6</v>
      </c>
      <c r="D48" s="9" t="n">
        <v>79</v>
      </c>
      <c r="E48" s="9" t="inlineStr">
        <is>
          <t>Good</t>
        </is>
      </c>
      <c r="F48" s="9" t="n"/>
      <c r="G48" s="9" t="n">
        <v>0</v>
      </c>
      <c r="H48" s="9" t="n">
        <v>131</v>
      </c>
      <c r="I48" s="9" t="n">
        <v>17</v>
      </c>
      <c r="J48" s="9" t="n">
        <v>0</v>
      </c>
    </row>
    <row r="49">
      <c r="A49" s="10" t="inlineStr">
        <is>
          <t>716LY01 SUZUKI S-PRESSO</t>
        </is>
      </c>
      <c r="B49" s="11" t="n">
        <v>5</v>
      </c>
      <c r="C49" s="11" t="n">
        <v>765.4</v>
      </c>
      <c r="D49" s="11" t="n">
        <v>63.2</v>
      </c>
      <c r="E49" s="11" t="inlineStr">
        <is>
          <t>Average</t>
        </is>
      </c>
      <c r="F49" s="11" t="n"/>
      <c r="G49" s="11" t="n">
        <v>0</v>
      </c>
      <c r="H49" s="11" t="n">
        <v>592</v>
      </c>
      <c r="I49" s="11" t="n">
        <v>77.3</v>
      </c>
      <c r="J49" s="11" t="n">
        <v>0</v>
      </c>
    </row>
    <row r="50">
      <c r="A50" s="8" t="inlineStr">
        <is>
          <t>3932LU01 Suzuki Dzire</t>
        </is>
      </c>
      <c r="B50" s="9" t="n">
        <v>9</v>
      </c>
      <c r="C50" s="9" t="n">
        <v>697.9</v>
      </c>
      <c r="D50" s="9" t="n">
        <v>89</v>
      </c>
      <c r="E50" s="9" t="inlineStr">
        <is>
          <t>Good</t>
        </is>
      </c>
      <c r="F50" s="9" t="n"/>
      <c r="G50" s="9" t="n">
        <v>0</v>
      </c>
      <c r="H50" s="9" t="n">
        <v>79</v>
      </c>
      <c r="I50" s="9" t="n">
        <v>11.3</v>
      </c>
      <c r="J50" s="9" t="n">
        <v>0</v>
      </c>
    </row>
    <row r="51">
      <c r="A51" s="10" t="inlineStr">
        <is>
          <t>1924LF01 NISSAN MICRA</t>
        </is>
      </c>
      <c r="B51" s="11" t="n">
        <v>1</v>
      </c>
      <c r="C51" s="11" t="n">
        <v>614.8</v>
      </c>
      <c r="D51" s="11" t="n">
        <v>84</v>
      </c>
      <c r="E51" s="11" t="inlineStr">
        <is>
          <t>Excellent</t>
        </is>
      </c>
      <c r="F51" s="11" t="n">
        <v>35.5</v>
      </c>
      <c r="G51" s="11" t="n">
        <v>218.3</v>
      </c>
      <c r="H51" s="11" t="n">
        <v>61</v>
      </c>
      <c r="I51" s="11" t="n">
        <v>9.9</v>
      </c>
      <c r="J51" s="11" t="n">
        <v>0</v>
      </c>
    </row>
    <row r="52">
      <c r="A52" s="8" t="inlineStr">
        <is>
          <t>2168LY01  Mitsubishi ASX</t>
        </is>
      </c>
      <c r="B52" s="9" t="n">
        <v>1</v>
      </c>
      <c r="C52" s="9" t="n">
        <v>576.6</v>
      </c>
      <c r="D52" s="9" t="n">
        <v>90</v>
      </c>
      <c r="E52" s="9" t="inlineStr">
        <is>
          <t>Excellent</t>
        </is>
      </c>
      <c r="F52" s="9" t="n"/>
      <c r="G52" s="9" t="n">
        <v>0</v>
      </c>
      <c r="H52" s="9" t="n">
        <v>34</v>
      </c>
      <c r="I52" s="9" t="n">
        <v>5.9</v>
      </c>
      <c r="J52" s="9" t="n">
        <v>0</v>
      </c>
    </row>
    <row r="53">
      <c r="A53" s="10" t="inlineStr">
        <is>
          <t>3261KG01 Renault DUSTER</t>
        </is>
      </c>
      <c r="B53" s="11" t="n">
        <v>1</v>
      </c>
      <c r="C53" s="11" t="n">
        <v>570.4</v>
      </c>
      <c r="D53" s="11" t="n">
        <v>78</v>
      </c>
      <c r="E53" s="11" t="inlineStr">
        <is>
          <t>Good</t>
        </is>
      </c>
      <c r="F53" s="11" t="n">
        <v>11.3</v>
      </c>
      <c r="G53" s="11" t="n">
        <v>64.5</v>
      </c>
      <c r="H53" s="11" t="n">
        <v>103</v>
      </c>
      <c r="I53" s="11" t="n">
        <v>18.1</v>
      </c>
      <c r="J53" s="11" t="n">
        <v>0</v>
      </c>
    </row>
    <row r="54">
      <c r="A54" s="8" t="inlineStr">
        <is>
          <t>100LX01 RENAULT KOLEOS</t>
        </is>
      </c>
      <c r="B54" s="9" t="n">
        <v>1</v>
      </c>
      <c r="C54" s="9" t="n">
        <v>512.6</v>
      </c>
      <c r="D54" s="9" t="n">
        <v>74</v>
      </c>
      <c r="E54" s="9" t="inlineStr">
        <is>
          <t>Good</t>
        </is>
      </c>
      <c r="F54" s="9" t="n">
        <v>12.9</v>
      </c>
      <c r="G54" s="9" t="n">
        <v>66</v>
      </c>
      <c r="H54" s="9" t="n">
        <v>259</v>
      </c>
      <c r="I54" s="9" t="n">
        <v>50.5</v>
      </c>
      <c r="J54" s="9" t="n">
        <v>93</v>
      </c>
    </row>
    <row r="55">
      <c r="A55" s="10" t="inlineStr">
        <is>
          <t>1926LF01 NISSAN MICRA</t>
        </is>
      </c>
      <c r="B55" s="11" t="n">
        <v>2</v>
      </c>
      <c r="C55" s="11" t="n">
        <v>479.9</v>
      </c>
      <c r="D55" s="11" t="n">
        <v>76.59999999999999</v>
      </c>
      <c r="E55" s="11" t="inlineStr">
        <is>
          <t>Good</t>
        </is>
      </c>
      <c r="F55" s="11" t="n">
        <v>27.9</v>
      </c>
      <c r="G55" s="11" t="n">
        <v>134</v>
      </c>
      <c r="H55" s="11" t="n">
        <v>85</v>
      </c>
      <c r="I55" s="11" t="n">
        <v>17.7</v>
      </c>
      <c r="J55" s="11" t="n">
        <v>0</v>
      </c>
    </row>
    <row r="56">
      <c r="A56" s="8" t="inlineStr">
        <is>
          <t>2169LY01 MITSUBISHI ASX</t>
        </is>
      </c>
      <c r="B56" s="9" t="n">
        <v>1</v>
      </c>
      <c r="C56" s="9" t="n">
        <v>387.1</v>
      </c>
      <c r="D56" s="9" t="n">
        <v>83</v>
      </c>
      <c r="E56" s="9" t="inlineStr">
        <is>
          <t>Excellent</t>
        </is>
      </c>
      <c r="F56" s="9" t="n"/>
      <c r="G56" s="9" t="n">
        <v>0</v>
      </c>
      <c r="H56" s="9" t="n">
        <v>35</v>
      </c>
      <c r="I56" s="9" t="n">
        <v>9</v>
      </c>
      <c r="J56" s="9" t="n">
        <v>0</v>
      </c>
    </row>
    <row r="57">
      <c r="A57" s="10" t="inlineStr">
        <is>
          <t>AA881EZ Toyota Belta</t>
        </is>
      </c>
      <c r="B57" s="11" t="n"/>
      <c r="C57" s="11" t="n">
        <v>379.8</v>
      </c>
      <c r="D57" s="11" t="n"/>
      <c r="E57" s="11" t="n"/>
      <c r="F57" s="11" t="n"/>
      <c r="G57" s="11" t="n">
        <v>0</v>
      </c>
      <c r="H57" s="11" t="n">
        <v>0</v>
      </c>
      <c r="I57" s="11" t="n">
        <v>0</v>
      </c>
      <c r="J57" s="11" t="n"/>
    </row>
    <row r="58">
      <c r="A58" s="8" t="inlineStr">
        <is>
          <t>AA364FH TOYOTA HILUX</t>
        </is>
      </c>
      <c r="B58" s="9" t="n">
        <v>3</v>
      </c>
      <c r="C58" s="9" t="n">
        <v>371</v>
      </c>
      <c r="D58" s="9" t="n">
        <v>85.5</v>
      </c>
      <c r="E58" s="9" t="inlineStr">
        <is>
          <t>Average</t>
        </is>
      </c>
      <c r="F58" s="9" t="n">
        <v>17.7</v>
      </c>
      <c r="G58" s="9" t="n">
        <v>65.59999999999999</v>
      </c>
      <c r="H58" s="9" t="n">
        <v>38</v>
      </c>
      <c r="I58" s="9" t="n">
        <v>10.2</v>
      </c>
      <c r="J58" s="9" t="n">
        <v>0</v>
      </c>
    </row>
    <row r="59">
      <c r="A59" s="10" t="inlineStr">
        <is>
          <t>AA876EZ Toyota Belta</t>
        </is>
      </c>
      <c r="B59" s="11" t="n">
        <v>1</v>
      </c>
      <c r="C59" s="11" t="n">
        <v>337.1</v>
      </c>
      <c r="D59" s="11" t="n">
        <v>83</v>
      </c>
      <c r="E59" s="11" t="inlineStr">
        <is>
          <t>Excellent</t>
        </is>
      </c>
      <c r="F59" s="11" t="n"/>
      <c r="G59" s="11" t="n">
        <v>0</v>
      </c>
      <c r="H59" s="11" t="n">
        <v>38</v>
      </c>
      <c r="I59" s="11" t="n">
        <v>11.3</v>
      </c>
      <c r="J59" s="11" t="n">
        <v>0</v>
      </c>
    </row>
    <row r="60">
      <c r="A60" s="8" t="inlineStr">
        <is>
          <t>AA360FH TOYOTA HILUX</t>
        </is>
      </c>
      <c r="B60" s="9" t="n">
        <v>1</v>
      </c>
      <c r="C60" s="9" t="n">
        <v>187.4</v>
      </c>
      <c r="D60" s="9" t="n">
        <v>72.40000000000001</v>
      </c>
      <c r="E60" s="9" t="inlineStr">
        <is>
          <t>Risk</t>
        </is>
      </c>
      <c r="F60" s="9" t="n"/>
      <c r="G60" s="9" t="n">
        <v>0</v>
      </c>
      <c r="H60" s="9" t="n">
        <v>36</v>
      </c>
      <c r="I60" s="9" t="n">
        <v>19.2</v>
      </c>
      <c r="J60" s="9" t="n">
        <v>0</v>
      </c>
    </row>
    <row r="61">
      <c r="A61" s="10" t="inlineStr">
        <is>
          <t>3908LF01 RENAULT DUSTER</t>
        </is>
      </c>
      <c r="B61" s="11" t="n">
        <v>1</v>
      </c>
      <c r="C61" s="11" t="n">
        <v>141.9</v>
      </c>
      <c r="D61" s="11" t="n">
        <v>75</v>
      </c>
      <c r="E61" s="11" t="inlineStr">
        <is>
          <t>Good</t>
        </is>
      </c>
      <c r="F61" s="11" t="n">
        <v>10.6</v>
      </c>
      <c r="G61" s="11" t="n">
        <v>15</v>
      </c>
      <c r="H61" s="11" t="n">
        <v>17</v>
      </c>
      <c r="I61" s="11" t="n">
        <v>12</v>
      </c>
      <c r="J61" s="11" t="n">
        <v>0</v>
      </c>
    </row>
    <row r="62">
      <c r="A62" s="8" t="inlineStr">
        <is>
          <t>1928LF01 NISSAN MICRA</t>
        </is>
      </c>
      <c r="B62" s="9" t="n">
        <v>1</v>
      </c>
      <c r="C62" s="9" t="n">
        <v>39.6</v>
      </c>
      <c r="D62" s="9" t="n">
        <v>88</v>
      </c>
      <c r="E62" s="9" t="inlineStr">
        <is>
          <t>Excellent</t>
        </is>
      </c>
      <c r="F62" s="9" t="n">
        <v>26.3</v>
      </c>
      <c r="G62" s="9" t="n">
        <v>10.4</v>
      </c>
      <c r="H62" s="9" t="n">
        <v>5</v>
      </c>
      <c r="I62" s="9" t="n">
        <v>12.6</v>
      </c>
      <c r="J62" s="9" t="n">
        <v>0</v>
      </c>
    </row>
    <row r="63">
      <c r="A63" s="10" t="inlineStr">
        <is>
          <t>AB588AZ MITSUBISHI L200</t>
        </is>
      </c>
      <c r="B63" s="11" t="n"/>
      <c r="C63" s="11" t="n">
        <v>26</v>
      </c>
      <c r="D63" s="11" t="n"/>
      <c r="E63" s="11" t="n"/>
      <c r="F63" s="11" t="n">
        <v>14.6</v>
      </c>
      <c r="G63" s="11" t="n">
        <v>3.8</v>
      </c>
      <c r="H63" s="11" t="n">
        <v>0</v>
      </c>
      <c r="I63" s="11" t="n">
        <v>0</v>
      </c>
      <c r="J63" s="11" t="n"/>
    </row>
    <row r="64">
      <c r="A64" s="12" t="inlineStr">
        <is>
          <t>TOTAL / MOYENNE</t>
        </is>
      </c>
      <c r="B64" s="12" t="n"/>
      <c r="C64" s="12">
        <f>ROUND(SUM(C6:C63),0)</f>
        <v/>
      </c>
      <c r="D64" s="12">
        <f>ROUND(AVERAGE(D6:D63),1)</f>
        <v/>
      </c>
      <c r="E64" s="12" t="n"/>
      <c r="F64" s="12">
        <f>ROUND(AVERAGE(F6:F63),1)</f>
        <v/>
      </c>
      <c r="G64" s="12">
        <f>ROUND(SUM(G6:G63),0)</f>
        <v/>
      </c>
      <c r="H64" s="12">
        <f>SUM(H6:H63)</f>
        <v/>
      </c>
      <c r="I64" s="12" t="n"/>
      <c r="J64" s="12" t="n"/>
    </row>
  </sheetData>
  <mergeCells count="1">
    <mergeCell ref="A1:J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3" customWidth="1" min="7" max="7"/>
    <col width="12" customWidth="1" min="8" max="8"/>
    <col width="9" customWidth="1" min="9" max="9"/>
    <col width="11" customWidth="1" min="10" max="10"/>
  </cols>
  <sheetData>
    <row r="1">
      <c r="A1" s="1" t="inlineStr">
        <is>
          <t>DÉTAIL COMPORTEMENT — ADVANS
Période : 01/05/2026 → 31/05/2026  |  Comafrique Technologies — Support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A5" s="3" t="inlineStr">
        <is>
          <t>Véhicule</t>
        </is>
      </c>
      <c r="B5" s="3" t="inlineStr">
        <is>
          <t>Conducteur</t>
        </is>
      </c>
      <c r="C5" s="3" t="inlineStr">
        <is>
          <t>Distance (km)</t>
        </is>
      </c>
      <c r="D5" s="3" t="inlineStr">
        <is>
          <t>Virages brusques</t>
        </is>
      </c>
      <c r="E5" s="3" t="inlineStr">
        <is>
          <t>Freinages brusques</t>
        </is>
      </c>
      <c r="F5" s="3" t="inlineStr">
        <is>
          <t>Accél. brusques</t>
        </is>
      </c>
      <c r="G5" s="3" t="inlineStr">
        <is>
          <t>Ralenti (min)</t>
        </is>
      </c>
      <c r="H5" s="3" t="inlineStr">
        <is>
          <t>Excès (min)</t>
        </is>
      </c>
      <c r="I5" s="3" t="inlineStr">
        <is>
          <t>Score</t>
        </is>
      </c>
      <c r="J5" s="3" t="inlineStr">
        <is>
          <t>Label</t>
        </is>
      </c>
    </row>
    <row r="6">
      <c r="A6" s="8" t="inlineStr">
        <is>
          <t>490LX01 MITSUBISHI L200</t>
        </is>
      </c>
      <c r="B6" s="9" t="inlineStr">
        <is>
          <t>Narcisse N'Guessan</t>
        </is>
      </c>
      <c r="C6" s="9" t="n">
        <v>4569.83</v>
      </c>
      <c r="D6" s="9" t="n">
        <v>11</v>
      </c>
      <c r="E6" s="9" t="n">
        <v>668</v>
      </c>
      <c r="F6" s="9" t="n">
        <v>227</v>
      </c>
      <c r="G6" s="9" t="n">
        <v>593.1</v>
      </c>
      <c r="H6" s="9" t="n">
        <v>2868</v>
      </c>
      <c r="I6" s="9" t="inlineStr">
        <is>
          <t>78%</t>
        </is>
      </c>
      <c r="J6" s="9" t="inlineStr">
        <is>
          <t>Good</t>
        </is>
      </c>
    </row>
    <row r="7">
      <c r="A7" s="10" t="inlineStr">
        <is>
          <t>2740KP01 MITSUBISHI L200</t>
        </is>
      </c>
      <c r="B7" s="11" t="inlineStr">
        <is>
          <t>N'GUESSAN Boris Habaut</t>
        </is>
      </c>
      <c r="C7" s="11" t="n">
        <v>3977.83</v>
      </c>
      <c r="D7" s="11" t="n">
        <v>13</v>
      </c>
      <c r="E7" s="11" t="n">
        <v>0</v>
      </c>
      <c r="F7" s="11" t="n">
        <v>496</v>
      </c>
      <c r="G7" s="11" t="n">
        <v>362.1</v>
      </c>
      <c r="H7" s="11" t="n">
        <v>0</v>
      </c>
      <c r="I7" s="11" t="inlineStr">
        <is>
          <t>87%</t>
        </is>
      </c>
      <c r="J7" s="11" t="inlineStr">
        <is>
          <t>Excellent</t>
        </is>
      </c>
    </row>
    <row r="8">
      <c r="A8" s="8" t="inlineStr">
        <is>
          <t>2740KP01 MITSUBISHI L200</t>
        </is>
      </c>
      <c r="B8" s="9" t="inlineStr">
        <is>
          <t>Lewie Herman TOURE</t>
        </is>
      </c>
      <c r="C8" s="9" t="n">
        <v>3848.26</v>
      </c>
      <c r="D8" s="9" t="n">
        <v>13</v>
      </c>
      <c r="E8" s="9" t="n">
        <v>0</v>
      </c>
      <c r="F8" s="9" t="n">
        <v>480</v>
      </c>
      <c r="G8" s="9" t="n">
        <v>354.1</v>
      </c>
      <c r="H8" s="9" t="n">
        <v>0</v>
      </c>
      <c r="I8" s="9" t="inlineStr">
        <is>
          <t>87%</t>
        </is>
      </c>
      <c r="J8" s="9" t="inlineStr">
        <is>
          <t>Excellent</t>
        </is>
      </c>
    </row>
    <row r="9">
      <c r="A9" s="10" t="inlineStr">
        <is>
          <t>2924LH01 MITSUBISHI L200</t>
        </is>
      </c>
      <c r="B9" s="11" t="inlineStr">
        <is>
          <t>Romaric N'CHO</t>
        </is>
      </c>
      <c r="C9" s="11" t="n">
        <v>3572.75</v>
      </c>
      <c r="D9" s="11" t="n">
        <v>22</v>
      </c>
      <c r="E9" s="11" t="n">
        <v>921</v>
      </c>
      <c r="F9" s="11" t="n">
        <v>138</v>
      </c>
      <c r="G9" s="11" t="n">
        <v>386.32</v>
      </c>
      <c r="H9" s="11" t="n">
        <v>0</v>
      </c>
      <c r="I9" s="11" t="inlineStr">
        <is>
          <t>69%</t>
        </is>
      </c>
      <c r="J9" s="11" t="inlineStr">
        <is>
          <t>Good</t>
        </is>
      </c>
    </row>
    <row r="10">
      <c r="A10" s="8" t="inlineStr">
        <is>
          <t>493LX01 MITSUBISHI L200</t>
        </is>
      </c>
      <c r="B10" s="9" t="inlineStr">
        <is>
          <t>Hermann DJEGBA</t>
        </is>
      </c>
      <c r="C10" s="9" t="n">
        <v>3433.73</v>
      </c>
      <c r="D10" s="9" t="n">
        <v>12</v>
      </c>
      <c r="E10" s="9" t="n">
        <v>535</v>
      </c>
      <c r="F10" s="9" t="n">
        <v>123</v>
      </c>
      <c r="G10" s="9" t="n">
        <v>682.3200000000001</v>
      </c>
      <c r="H10" s="9" t="n">
        <v>1362</v>
      </c>
      <c r="I10" s="9" t="inlineStr">
        <is>
          <t>78%</t>
        </is>
      </c>
      <c r="J10" s="9" t="inlineStr">
        <is>
          <t>Good</t>
        </is>
      </c>
    </row>
    <row r="11">
      <c r="A11" s="10" t="inlineStr">
        <is>
          <t>493LX01 MITSUBISHI L200</t>
        </is>
      </c>
      <c r="B11" s="11" t="inlineStr">
        <is>
          <t>ALLOU JEAN MARC</t>
        </is>
      </c>
      <c r="C11" s="11" t="n">
        <v>3195.78</v>
      </c>
      <c r="D11" s="11" t="n">
        <v>11</v>
      </c>
      <c r="E11" s="11" t="n">
        <v>473</v>
      </c>
      <c r="F11" s="11" t="n">
        <v>122</v>
      </c>
      <c r="G11" s="11" t="n">
        <v>645.12</v>
      </c>
      <c r="H11" s="11" t="n">
        <v>1362</v>
      </c>
      <c r="I11" s="11" t="inlineStr">
        <is>
          <t>79%</t>
        </is>
      </c>
      <c r="J11" s="11" t="inlineStr">
        <is>
          <t>Good</t>
        </is>
      </c>
    </row>
    <row r="12">
      <c r="A12" s="8" t="inlineStr">
        <is>
          <t>492LX01 Mitsubishi	L200</t>
        </is>
      </c>
      <c r="B12" s="9" t="inlineStr">
        <is>
          <t>N'GUETTA BINI KOUAME LOUIS</t>
        </is>
      </c>
      <c r="C12" s="9" t="n">
        <v>3191.88</v>
      </c>
      <c r="D12" s="9" t="n">
        <v>68</v>
      </c>
      <c r="E12" s="9" t="n">
        <v>322</v>
      </c>
      <c r="F12" s="9" t="n">
        <v>364</v>
      </c>
      <c r="G12" s="9" t="n">
        <v>361.8</v>
      </c>
      <c r="H12" s="9" t="n">
        <v>0</v>
      </c>
      <c r="I12" s="9" t="inlineStr">
        <is>
          <t>74%</t>
        </is>
      </c>
      <c r="J12" s="9" t="inlineStr">
        <is>
          <t>Good</t>
        </is>
      </c>
    </row>
    <row r="13">
      <c r="A13" s="10" t="inlineStr">
        <is>
          <t>AB168AV - ISUZU DMAX</t>
        </is>
      </c>
      <c r="B13" s="11" t="inlineStr">
        <is>
          <t>Narcisse KOUADIO</t>
        </is>
      </c>
      <c r="C13" s="11" t="n">
        <v>3094.02</v>
      </c>
      <c r="D13" s="11" t="n">
        <v>14</v>
      </c>
      <c r="E13" s="11" t="n">
        <v>353</v>
      </c>
      <c r="F13" s="11" t="n">
        <v>123</v>
      </c>
      <c r="G13" s="11" t="n">
        <v>426.35</v>
      </c>
      <c r="H13" s="11" t="n">
        <v>0</v>
      </c>
      <c r="I13" s="11" t="inlineStr">
        <is>
          <t>83%</t>
        </is>
      </c>
      <c r="J13" s="11" t="inlineStr">
        <is>
          <t>Excellent</t>
        </is>
      </c>
    </row>
    <row r="14">
      <c r="A14" s="8" t="inlineStr">
        <is>
          <t>AA362RJ MITSUBISHI L200</t>
        </is>
      </c>
      <c r="B14" s="9" t="inlineStr">
        <is>
          <t>Herman AKE</t>
        </is>
      </c>
      <c r="C14" s="9" t="n">
        <v>3083.11</v>
      </c>
      <c r="D14" s="9" t="n">
        <v>0</v>
      </c>
      <c r="E14" s="9" t="n">
        <v>0</v>
      </c>
      <c r="F14" s="9" t="n">
        <v>0</v>
      </c>
      <c r="G14" s="9" t="n">
        <v>634.15</v>
      </c>
      <c r="H14" s="9" t="n">
        <v>0</v>
      </c>
      <c r="I14" s="9" t="inlineStr">
        <is>
          <t>99%</t>
        </is>
      </c>
      <c r="J14" s="9" t="inlineStr">
        <is>
          <t>Excellent</t>
        </is>
      </c>
    </row>
    <row r="15">
      <c r="A15" s="10" t="inlineStr">
        <is>
          <t>AA956FZ NISSAN NAVARA</t>
        </is>
      </c>
      <c r="B15" s="11" t="inlineStr">
        <is>
          <t>Guillaume KONAN</t>
        </is>
      </c>
      <c r="C15" s="11" t="n">
        <v>2963.59</v>
      </c>
      <c r="D15" s="11" t="n">
        <v>18</v>
      </c>
      <c r="E15" s="11" t="n">
        <v>335</v>
      </c>
      <c r="F15" s="11" t="n">
        <v>224</v>
      </c>
      <c r="G15" s="11" t="n">
        <v>563.97</v>
      </c>
      <c r="H15" s="11" t="n">
        <v>1375.2</v>
      </c>
      <c r="I15" s="11" t="inlineStr">
        <is>
          <t>28%</t>
        </is>
      </c>
      <c r="J15" s="11" t="inlineStr">
        <is>
          <t>Poor</t>
        </is>
      </c>
    </row>
    <row r="16">
      <c r="A16" s="8" t="inlineStr">
        <is>
          <t>493LX01 MITSUBISHI L200</t>
        </is>
      </c>
      <c r="B16" s="9" t="inlineStr">
        <is>
          <t>Dolourou TUO</t>
        </is>
      </c>
      <c r="C16" s="9" t="n">
        <v>2903.79</v>
      </c>
      <c r="D16" s="9" t="n">
        <v>11</v>
      </c>
      <c r="E16" s="9" t="n">
        <v>410</v>
      </c>
      <c r="F16" s="9" t="n">
        <v>105</v>
      </c>
      <c r="G16" s="9" t="n">
        <v>618.33</v>
      </c>
      <c r="H16" s="9" t="n">
        <v>1362</v>
      </c>
      <c r="I16" s="9" t="inlineStr">
        <is>
          <t>80%</t>
        </is>
      </c>
      <c r="J16" s="9" t="inlineStr">
        <is>
          <t>Excellent</t>
        </is>
      </c>
    </row>
    <row r="17">
      <c r="A17" s="10" t="inlineStr">
        <is>
          <t>494LX01 MITSUBISHI L200</t>
        </is>
      </c>
      <c r="B17" s="11" t="inlineStr">
        <is>
          <t>Aubain BOSSIA</t>
        </is>
      </c>
      <c r="C17" s="11" t="n">
        <v>2871.57</v>
      </c>
      <c r="D17" s="11" t="n">
        <v>146</v>
      </c>
      <c r="E17" s="11" t="n">
        <v>903</v>
      </c>
      <c r="F17" s="11" t="n">
        <v>14</v>
      </c>
      <c r="G17" s="11" t="n">
        <v>311.63</v>
      </c>
      <c r="H17" s="11" t="n">
        <v>0</v>
      </c>
      <c r="I17" s="11" t="inlineStr">
        <is>
          <t>58%</t>
        </is>
      </c>
      <c r="J17" s="11" t="inlineStr">
        <is>
          <t>Average</t>
        </is>
      </c>
    </row>
    <row r="18">
      <c r="A18" s="8" t="inlineStr">
        <is>
          <t>494LX01 MITSUBISHI L200</t>
        </is>
      </c>
      <c r="B18" s="9" t="inlineStr">
        <is>
          <t>Daouda Coulibaly</t>
        </is>
      </c>
      <c r="C18" s="9" t="n">
        <v>2820.83</v>
      </c>
      <c r="D18" s="9" t="n">
        <v>143</v>
      </c>
      <c r="E18" s="9" t="n">
        <v>863</v>
      </c>
      <c r="F18" s="9" t="n">
        <v>15</v>
      </c>
      <c r="G18" s="9" t="n">
        <v>358.62</v>
      </c>
      <c r="H18" s="9" t="n">
        <v>0</v>
      </c>
      <c r="I18" s="9" t="inlineStr">
        <is>
          <t>58%</t>
        </is>
      </c>
      <c r="J18" s="9" t="inlineStr">
        <is>
          <t>Average</t>
        </is>
      </c>
    </row>
    <row r="19">
      <c r="A19" s="10" t="inlineStr">
        <is>
          <t>494LX01 MITSUBISHI L200</t>
        </is>
      </c>
      <c r="B19" s="11" t="inlineStr">
        <is>
          <t>Clément GEU</t>
        </is>
      </c>
      <c r="C19" s="11" t="n">
        <v>2772.6</v>
      </c>
      <c r="D19" s="11" t="n">
        <v>139</v>
      </c>
      <c r="E19" s="11" t="n">
        <v>823</v>
      </c>
      <c r="F19" s="11" t="n">
        <v>13</v>
      </c>
      <c r="G19" s="11" t="n">
        <v>352.73</v>
      </c>
      <c r="H19" s="11" t="n">
        <v>0</v>
      </c>
      <c r="I19" s="11" t="inlineStr">
        <is>
          <t>59%</t>
        </is>
      </c>
      <c r="J19" s="11" t="inlineStr">
        <is>
          <t>Average</t>
        </is>
      </c>
    </row>
    <row r="20">
      <c r="A20" s="8" t="inlineStr">
        <is>
          <t>494LX01 MITSUBISHI L200</t>
        </is>
      </c>
      <c r="B20" s="9" t="inlineStr">
        <is>
          <t>COULIBALY Sirima</t>
        </is>
      </c>
      <c r="C20" s="9" t="n">
        <v>2700.06</v>
      </c>
      <c r="D20" s="9" t="n">
        <v>145</v>
      </c>
      <c r="E20" s="9" t="n">
        <v>818</v>
      </c>
      <c r="F20" s="9" t="n">
        <v>13</v>
      </c>
      <c r="G20" s="9" t="n">
        <v>306.45</v>
      </c>
      <c r="H20" s="9" t="n">
        <v>0</v>
      </c>
      <c r="I20" s="9" t="inlineStr">
        <is>
          <t>58%</t>
        </is>
      </c>
      <c r="J20" s="9" t="inlineStr">
        <is>
          <t>Average</t>
        </is>
      </c>
    </row>
    <row r="21">
      <c r="A21" s="10" t="inlineStr">
        <is>
          <t>AA537RK MITSUBISHI ASX</t>
        </is>
      </c>
      <c r="B21" s="11" t="inlineStr">
        <is>
          <t>Nadia KOFFI</t>
        </is>
      </c>
      <c r="C21" s="11" t="n">
        <v>2519.6</v>
      </c>
      <c r="D21" s="11" t="n">
        <v>20</v>
      </c>
      <c r="E21" s="11" t="n">
        <v>410</v>
      </c>
      <c r="F21" s="11" t="n">
        <v>139</v>
      </c>
      <c r="G21" s="11" t="n">
        <v>322.23</v>
      </c>
      <c r="H21" s="11" t="n">
        <v>2004</v>
      </c>
      <c r="I21" s="11" t="inlineStr">
        <is>
          <t>75%</t>
        </is>
      </c>
      <c r="J21" s="11" t="inlineStr">
        <is>
          <t>Good</t>
        </is>
      </c>
    </row>
    <row r="22">
      <c r="A22" s="8" t="inlineStr">
        <is>
          <t>909WWCI01 Mitsubishi L200</t>
        </is>
      </c>
      <c r="B22" s="9" t="inlineStr">
        <is>
          <t>Wilfied GBOCHO</t>
        </is>
      </c>
      <c r="C22" s="9" t="n">
        <v>2519.1</v>
      </c>
      <c r="D22" s="9" t="n">
        <v>8</v>
      </c>
      <c r="E22" s="9" t="n">
        <v>426</v>
      </c>
      <c r="F22" s="9" t="n">
        <v>107</v>
      </c>
      <c r="G22" s="9" t="n">
        <v>513.23</v>
      </c>
      <c r="H22" s="9" t="n">
        <v>798</v>
      </c>
      <c r="I22" s="9" t="inlineStr">
        <is>
          <t>77%</t>
        </is>
      </c>
      <c r="J22" s="9" t="inlineStr">
        <is>
          <t>Good</t>
        </is>
      </c>
    </row>
    <row r="23">
      <c r="A23" s="10" t="inlineStr">
        <is>
          <t>779LG01 RENAULT DUSTER</t>
        </is>
      </c>
      <c r="B23" s="11" t="inlineStr">
        <is>
          <t>Aboubacar KONE</t>
        </is>
      </c>
      <c r="C23" s="11" t="n">
        <v>2231.65</v>
      </c>
      <c r="D23" s="11" t="n">
        <v>14</v>
      </c>
      <c r="E23" s="11" t="n">
        <v>177</v>
      </c>
      <c r="F23" s="11" t="n">
        <v>23</v>
      </c>
      <c r="G23" s="11" t="n">
        <v>671.0700000000001</v>
      </c>
      <c r="H23" s="11" t="n">
        <v>3367.2</v>
      </c>
      <c r="I23" s="11" t="inlineStr">
        <is>
          <t>85%</t>
        </is>
      </c>
      <c r="J23" s="11" t="inlineStr">
        <is>
          <t>Excellent</t>
        </is>
      </c>
    </row>
    <row r="24">
      <c r="A24" s="8" t="inlineStr">
        <is>
          <t>2352LC01 MITSUBISHI L200</t>
        </is>
      </c>
      <c r="B24" s="9" t="inlineStr">
        <is>
          <t>Serges AKA</t>
        </is>
      </c>
      <c r="C24" s="9" t="n">
        <v>2222.16</v>
      </c>
      <c r="D24" s="9" t="n">
        <v>17</v>
      </c>
      <c r="E24" s="9" t="n">
        <v>712</v>
      </c>
      <c r="F24" s="9" t="n">
        <v>0</v>
      </c>
      <c r="G24" s="9" t="n">
        <v>304.5</v>
      </c>
      <c r="H24" s="9" t="n">
        <v>1164</v>
      </c>
      <c r="I24" s="9" t="inlineStr">
        <is>
          <t>65%</t>
        </is>
      </c>
      <c r="J24" s="9" t="inlineStr">
        <is>
          <t>Good</t>
        </is>
      </c>
    </row>
    <row r="25">
      <c r="A25" s="10" t="inlineStr">
        <is>
          <t>AA609HK Volkswagen Caddy</t>
        </is>
      </c>
      <c r="B25" s="11" t="inlineStr">
        <is>
          <t>Zanga TRAORE</t>
        </is>
      </c>
      <c r="C25" s="11" t="n">
        <v>2206.76</v>
      </c>
      <c r="D25" s="11" t="n">
        <v>30</v>
      </c>
      <c r="E25" s="11" t="n">
        <v>91</v>
      </c>
      <c r="F25" s="11" t="n">
        <v>42</v>
      </c>
      <c r="G25" s="11" t="n">
        <v>916.4</v>
      </c>
      <c r="H25" s="11" t="n">
        <v>534</v>
      </c>
      <c r="I25" s="11" t="inlineStr">
        <is>
          <t>88%</t>
        </is>
      </c>
      <c r="J25" s="11" t="inlineStr">
        <is>
          <t>Excellent</t>
        </is>
      </c>
    </row>
    <row r="26">
      <c r="A26" s="8" t="inlineStr">
        <is>
          <t>2722LU01 MITSUBISHI ASX</t>
        </is>
      </c>
      <c r="B26" s="9" t="inlineStr">
        <is>
          <t>TEPE  Aquilas Maguy</t>
        </is>
      </c>
      <c r="C26" s="9" t="n">
        <v>2160.3</v>
      </c>
      <c r="D26" s="9" t="n">
        <v>37</v>
      </c>
      <c r="E26" s="9" t="n">
        <v>114</v>
      </c>
      <c r="F26" s="9" t="n">
        <v>71</v>
      </c>
      <c r="G26" s="9" t="n">
        <v>488.28</v>
      </c>
      <c r="H26" s="9" t="n">
        <v>324</v>
      </c>
      <c r="I26" s="9" t="inlineStr">
        <is>
          <t>87%</t>
        </is>
      </c>
      <c r="J26" s="9" t="inlineStr">
        <is>
          <t>Excellent</t>
        </is>
      </c>
    </row>
    <row r="27">
      <c r="A27" s="10" t="inlineStr">
        <is>
          <t>AA323AZ   ISUZU D-MAX</t>
        </is>
      </c>
      <c r="B27" s="11" t="inlineStr">
        <is>
          <t>HERVE KONAN</t>
        </is>
      </c>
      <c r="C27" s="11" t="n">
        <v>2007.1</v>
      </c>
      <c r="D27" s="11" t="n">
        <v>8</v>
      </c>
      <c r="E27" s="11" t="n">
        <v>311</v>
      </c>
      <c r="F27" s="11" t="n">
        <v>6</v>
      </c>
      <c r="G27" s="11" t="n">
        <v>189.43</v>
      </c>
      <c r="H27" s="11" t="n">
        <v>0</v>
      </c>
      <c r="I27" s="11" t="inlineStr">
        <is>
          <t>83%</t>
        </is>
      </c>
      <c r="J27" s="11" t="inlineStr">
        <is>
          <t>Excellent</t>
        </is>
      </c>
    </row>
    <row r="28">
      <c r="A28" s="8" t="inlineStr">
        <is>
          <t>3649LP01 Renault DUSTER</t>
        </is>
      </c>
      <c r="B28" s="9" t="inlineStr">
        <is>
          <t>Mathurin N'GUESSAN</t>
        </is>
      </c>
      <c r="C28" s="9" t="n">
        <v>1926.49</v>
      </c>
      <c r="D28" s="9" t="n">
        <v>3</v>
      </c>
      <c r="E28" s="9" t="n">
        <v>96</v>
      </c>
      <c r="F28" s="9" t="n">
        <v>47</v>
      </c>
      <c r="G28" s="9" t="n">
        <v>112.23</v>
      </c>
      <c r="H28" s="9" t="n">
        <v>4779</v>
      </c>
      <c r="I28" s="9" t="inlineStr">
        <is>
          <t>87%</t>
        </is>
      </c>
      <c r="J28" s="9" t="inlineStr">
        <is>
          <t>Excellent</t>
        </is>
      </c>
    </row>
    <row r="29">
      <c r="A29" s="10" t="inlineStr">
        <is>
          <t>AA326AZ ISUZU D-MAX</t>
        </is>
      </c>
      <c r="B29" s="11" t="inlineStr">
        <is>
          <t>Lewie Herman TOURE</t>
        </is>
      </c>
      <c r="C29" s="11" t="n">
        <v>1765.64</v>
      </c>
      <c r="D29" s="11" t="n">
        <v>4</v>
      </c>
      <c r="E29" s="11" t="n">
        <v>14</v>
      </c>
      <c r="F29" s="11" t="n">
        <v>28</v>
      </c>
      <c r="G29" s="11" t="n">
        <v>131.97</v>
      </c>
      <c r="H29" s="11" t="n">
        <v>328.8</v>
      </c>
      <c r="I29" s="11" t="inlineStr">
        <is>
          <t>97%</t>
        </is>
      </c>
      <c r="J29" s="11" t="inlineStr">
        <is>
          <t>Excellent</t>
        </is>
      </c>
    </row>
    <row r="30">
      <c r="A30" s="8" t="inlineStr">
        <is>
          <t>1927LF01 NISSAN MICRA</t>
        </is>
      </c>
      <c r="B30" s="9" t="inlineStr">
        <is>
          <t>Aboubacar Sidiki CISSE</t>
        </is>
      </c>
      <c r="C30" s="9" t="n">
        <v>1753.98</v>
      </c>
      <c r="D30" s="9" t="n">
        <v>4</v>
      </c>
      <c r="E30" s="9" t="n">
        <v>513</v>
      </c>
      <c r="F30" s="9" t="n">
        <v>33</v>
      </c>
      <c r="G30" s="9" t="n">
        <v>290.72</v>
      </c>
      <c r="H30" s="9" t="n">
        <v>33</v>
      </c>
      <c r="I30" s="9" t="inlineStr">
        <is>
          <t>68%</t>
        </is>
      </c>
      <c r="J30" s="9" t="inlineStr">
        <is>
          <t>Good</t>
        </is>
      </c>
    </row>
    <row r="31">
      <c r="A31" s="10" t="inlineStr">
        <is>
          <t>AA307RJ MITSUBISHI ASX</t>
        </is>
      </c>
      <c r="B31" s="11" t="inlineStr">
        <is>
          <t>Stephane N'GORAN</t>
        </is>
      </c>
      <c r="C31" s="11" t="n">
        <v>1720.82</v>
      </c>
      <c r="D31" s="11" t="n">
        <v>2</v>
      </c>
      <c r="E31" s="11" t="n">
        <v>52</v>
      </c>
      <c r="F31" s="11" t="n">
        <v>93</v>
      </c>
      <c r="G31" s="11" t="n">
        <v>216</v>
      </c>
      <c r="H31" s="11" t="n">
        <v>3409.8</v>
      </c>
      <c r="I31" s="11" t="inlineStr">
        <is>
          <t>87%</t>
        </is>
      </c>
      <c r="J31" s="11" t="inlineStr">
        <is>
          <t>Excellent</t>
        </is>
      </c>
    </row>
    <row r="32">
      <c r="A32" s="8" t="inlineStr">
        <is>
          <t>AA533SB MITSUBISHI ASX</t>
        </is>
      </c>
      <c r="B32" s="9" t="inlineStr">
        <is>
          <t>Ben Youssef</t>
        </is>
      </c>
      <c r="C32" s="9" t="n">
        <v>1654.58</v>
      </c>
      <c r="D32" s="9" t="n">
        <v>17</v>
      </c>
      <c r="E32" s="9" t="n">
        <v>305</v>
      </c>
      <c r="F32" s="9" t="n">
        <v>69</v>
      </c>
      <c r="G32" s="9" t="n">
        <v>938.1799999999999</v>
      </c>
      <c r="H32" s="9" t="n">
        <v>78</v>
      </c>
      <c r="I32" s="9" t="inlineStr">
        <is>
          <t>72%</t>
        </is>
      </c>
      <c r="J32" s="9" t="inlineStr">
        <is>
          <t>Good</t>
        </is>
      </c>
    </row>
    <row r="33">
      <c r="A33" s="10" t="inlineStr">
        <is>
          <t>AA889EZ TOYOTA URBAN Cruiser</t>
        </is>
      </c>
      <c r="B33" s="11" t="inlineStr">
        <is>
          <t>ALI Désiré Michaël</t>
        </is>
      </c>
      <c r="C33" s="11" t="n">
        <v>1600.39</v>
      </c>
      <c r="D33" s="11" t="n">
        <v>38</v>
      </c>
      <c r="E33" s="11" t="n">
        <v>92</v>
      </c>
      <c r="F33" s="11" t="n">
        <v>87</v>
      </c>
      <c r="G33" s="11" t="n">
        <v>510.57</v>
      </c>
      <c r="H33" s="11" t="n">
        <v>490.2</v>
      </c>
      <c r="I33" s="11" t="inlineStr">
        <is>
          <t>82%</t>
        </is>
      </c>
      <c r="J33" s="11" t="inlineStr">
        <is>
          <t>Excellent</t>
        </is>
      </c>
    </row>
    <row r="34">
      <c r="A34" s="8" t="inlineStr">
        <is>
          <t>3782LU01 Suzuki Dzire</t>
        </is>
      </c>
      <c r="B34" s="9" t="inlineStr">
        <is>
          <t>Moïse Yao</t>
        </is>
      </c>
      <c r="C34" s="9" t="n">
        <v>1587.82</v>
      </c>
      <c r="D34" s="9" t="n">
        <v>9</v>
      </c>
      <c r="E34" s="9" t="n">
        <v>69</v>
      </c>
      <c r="F34" s="9" t="n">
        <v>45</v>
      </c>
      <c r="G34" s="9" t="n">
        <v>1061.55</v>
      </c>
      <c r="H34" s="9" t="n">
        <v>118.2</v>
      </c>
      <c r="I34" s="9" t="inlineStr">
        <is>
          <t>88%</t>
        </is>
      </c>
      <c r="J34" s="9" t="inlineStr">
        <is>
          <t>Excellent</t>
        </is>
      </c>
    </row>
    <row r="35">
      <c r="A35" s="10" t="inlineStr">
        <is>
          <t>AA956FZ NISSAN NAVARA</t>
        </is>
      </c>
      <c r="B35" s="11" t="inlineStr">
        <is>
          <t>Clovis KOUACOU</t>
        </is>
      </c>
      <c r="C35" s="11" t="n">
        <v>1563.74</v>
      </c>
      <c r="D35" s="11" t="n">
        <v>5</v>
      </c>
      <c r="E35" s="11" t="n">
        <v>198</v>
      </c>
      <c r="F35" s="11" t="n">
        <v>111</v>
      </c>
      <c r="G35" s="11" t="n">
        <v>410.25</v>
      </c>
      <c r="H35" s="11" t="n">
        <v>63</v>
      </c>
      <c r="I35" s="11" t="inlineStr">
        <is>
          <t>30%</t>
        </is>
      </c>
      <c r="J35" s="11" t="inlineStr">
        <is>
          <t>Poor</t>
        </is>
      </c>
    </row>
    <row r="36">
      <c r="A36" s="8" t="inlineStr">
        <is>
          <t>3919LF01 RENAULT DUSTER</t>
        </is>
      </c>
      <c r="B36" s="9" t="inlineStr">
        <is>
          <t>Brahima TRAORE</t>
        </is>
      </c>
      <c r="C36" s="9" t="n">
        <v>1560.85</v>
      </c>
      <c r="D36" s="9" t="n">
        <v>10</v>
      </c>
      <c r="E36" s="9" t="n">
        <v>158</v>
      </c>
      <c r="F36" s="9" t="n">
        <v>8</v>
      </c>
      <c r="G36" s="9" t="n">
        <v>980.63</v>
      </c>
      <c r="H36" s="9" t="n">
        <v>1156.2</v>
      </c>
      <c r="I36" s="9" t="inlineStr">
        <is>
          <t>83%</t>
        </is>
      </c>
      <c r="J36" s="9" t="inlineStr">
        <is>
          <t>Excellent</t>
        </is>
      </c>
    </row>
    <row r="37">
      <c r="A37" s="10" t="inlineStr">
        <is>
          <t>907WWCI01 Mitsubishi L200</t>
        </is>
      </c>
      <c r="B37" s="11" t="inlineStr">
        <is>
          <t>Francis FALLE</t>
        </is>
      </c>
      <c r="C37" s="11" t="n">
        <v>1551.05</v>
      </c>
      <c r="D37" s="11" t="n">
        <v>3</v>
      </c>
      <c r="E37" s="11" t="n">
        <v>785</v>
      </c>
      <c r="F37" s="11" t="n">
        <v>0</v>
      </c>
      <c r="G37" s="11" t="n">
        <v>562.13</v>
      </c>
      <c r="H37" s="11" t="n">
        <v>3337.2</v>
      </c>
      <c r="I37" s="11" t="inlineStr">
        <is>
          <t>42%</t>
        </is>
      </c>
      <c r="J37" s="11" t="inlineStr">
        <is>
          <t>Average</t>
        </is>
      </c>
    </row>
    <row r="38">
      <c r="A38" s="8" t="inlineStr">
        <is>
          <t>AA364EY TOYOTA URBAN CRUISER</t>
        </is>
      </c>
      <c r="B38" s="9" t="inlineStr">
        <is>
          <t>GUIE IRIE BI</t>
        </is>
      </c>
      <c r="C38" s="9" t="n">
        <v>1542.5</v>
      </c>
      <c r="D38" s="9" t="n">
        <v>48</v>
      </c>
      <c r="E38" s="9" t="n">
        <v>501</v>
      </c>
      <c r="F38" s="9" t="n">
        <v>144</v>
      </c>
      <c r="G38" s="9" t="n">
        <v>522.8200000000001</v>
      </c>
      <c r="H38" s="9" t="n">
        <v>231</v>
      </c>
      <c r="I38" s="9" t="inlineStr">
        <is>
          <t>50%</t>
        </is>
      </c>
      <c r="J38" s="9" t="inlineStr">
        <is>
          <t>Average</t>
        </is>
      </c>
    </row>
    <row r="39">
      <c r="A39" s="10" t="inlineStr">
        <is>
          <t>AA609HK Volkswagen Caddy</t>
        </is>
      </c>
      <c r="B39" s="11" t="inlineStr">
        <is>
          <t>CFAO SARI</t>
        </is>
      </c>
      <c r="C39" s="11" t="n">
        <v>1484.96</v>
      </c>
      <c r="D39" s="11" t="n">
        <v>28</v>
      </c>
      <c r="E39" s="11" t="n">
        <v>79</v>
      </c>
      <c r="F39" s="11" t="n">
        <v>41</v>
      </c>
      <c r="G39" s="11" t="n">
        <v>620.83</v>
      </c>
      <c r="H39" s="11" t="n">
        <v>10.8</v>
      </c>
      <c r="I39" s="11" t="inlineStr">
        <is>
          <t>86%</t>
        </is>
      </c>
      <c r="J39" s="11" t="inlineStr">
        <is>
          <t>Excellent</t>
        </is>
      </c>
    </row>
    <row r="40">
      <c r="A40" s="8" t="inlineStr">
        <is>
          <t>AA309RJ MITSUBISHI ASX</t>
        </is>
      </c>
      <c r="B40" s="9" t="inlineStr">
        <is>
          <t>Albert DAH</t>
        </is>
      </c>
      <c r="C40" s="9" t="n">
        <v>1480.49</v>
      </c>
      <c r="D40" s="9" t="n">
        <v>7</v>
      </c>
      <c r="E40" s="9" t="n">
        <v>185</v>
      </c>
      <c r="F40" s="9" t="n">
        <v>59</v>
      </c>
      <c r="G40" s="9" t="n">
        <v>66.42</v>
      </c>
      <c r="H40" s="9" t="n">
        <v>175.2</v>
      </c>
      <c r="I40" s="9" t="inlineStr">
        <is>
          <t>83%</t>
        </is>
      </c>
      <c r="J40" s="9" t="inlineStr">
        <is>
          <t>Excellent</t>
        </is>
      </c>
    </row>
    <row r="41">
      <c r="A41" s="10" t="inlineStr">
        <is>
          <t>3782LU01 Suzuki Dzire</t>
        </is>
      </c>
      <c r="B41" s="11" t="inlineStr">
        <is>
          <t>Guillaume KONAN</t>
        </is>
      </c>
      <c r="C41" s="11" t="n">
        <v>1394.57</v>
      </c>
      <c r="D41" s="11" t="n">
        <v>7</v>
      </c>
      <c r="E41" s="11" t="n">
        <v>73</v>
      </c>
      <c r="F41" s="11" t="n">
        <v>46</v>
      </c>
      <c r="G41" s="11" t="n">
        <v>1097.6</v>
      </c>
      <c r="H41" s="11" t="n">
        <v>118.2</v>
      </c>
      <c r="I41" s="11" t="inlineStr">
        <is>
          <t>86%</t>
        </is>
      </c>
      <c r="J41" s="11" t="inlineStr">
        <is>
          <t>Excellent</t>
        </is>
      </c>
    </row>
    <row r="42">
      <c r="A42" s="8" t="inlineStr">
        <is>
          <t>AA326AZ ISUZU D-MAX</t>
        </is>
      </c>
      <c r="B42" s="9" t="inlineStr">
        <is>
          <t>Narcisse KOUA</t>
        </is>
      </c>
      <c r="C42" s="9" t="n">
        <v>1336.93</v>
      </c>
      <c r="D42" s="9" t="n">
        <v>5</v>
      </c>
      <c r="E42" s="9" t="n">
        <v>24</v>
      </c>
      <c r="F42" s="9" t="n">
        <v>14</v>
      </c>
      <c r="G42" s="9" t="n">
        <v>142</v>
      </c>
      <c r="H42" s="9" t="n">
        <v>0</v>
      </c>
      <c r="I42" s="9" t="inlineStr">
        <is>
          <t>96%</t>
        </is>
      </c>
      <c r="J42" s="9" t="inlineStr">
        <is>
          <t>Excellent</t>
        </is>
      </c>
    </row>
    <row r="43">
      <c r="A43" s="10" t="inlineStr">
        <is>
          <t>AA609HK Volkswagen Caddy</t>
        </is>
      </c>
      <c r="B43" s="11" t="inlineStr">
        <is>
          <t>Amoussa OUAHIDY</t>
        </is>
      </c>
      <c r="C43" s="11" t="n">
        <v>1314.72</v>
      </c>
      <c r="D43" s="11" t="n">
        <v>27</v>
      </c>
      <c r="E43" s="11" t="n">
        <v>71</v>
      </c>
      <c r="F43" s="11" t="n">
        <v>37</v>
      </c>
      <c r="G43" s="11" t="n">
        <v>514.42</v>
      </c>
      <c r="H43" s="11" t="n">
        <v>10.8</v>
      </c>
      <c r="I43" s="11" t="inlineStr">
        <is>
          <t>86%</t>
        </is>
      </c>
      <c r="J43" s="11" t="inlineStr">
        <is>
          <t>Excellent</t>
        </is>
      </c>
    </row>
    <row r="44">
      <c r="A44" s="8" t="inlineStr">
        <is>
          <t>1923LF01 NISSAN MICRA</t>
        </is>
      </c>
      <c r="B44" s="9" t="inlineStr">
        <is>
          <t>Rafiatou GBADAMASSI</t>
        </is>
      </c>
      <c r="C44" s="9" t="n">
        <v>1237.14</v>
      </c>
      <c r="D44" s="9" t="n">
        <v>4</v>
      </c>
      <c r="E44" s="9" t="n">
        <v>41</v>
      </c>
      <c r="F44" s="9" t="n">
        <v>12</v>
      </c>
      <c r="G44" s="9" t="n">
        <v>396.45</v>
      </c>
      <c r="H44" s="9" t="n">
        <v>106.8</v>
      </c>
      <c r="I44" s="9" t="inlineStr">
        <is>
          <t>93%</t>
        </is>
      </c>
      <c r="J44" s="9" t="inlineStr">
        <is>
          <t>Excellent</t>
        </is>
      </c>
    </row>
    <row r="45">
      <c r="A45" s="10" t="inlineStr">
        <is>
          <t>AA307RJ MITSUBISHI ASX</t>
        </is>
      </c>
      <c r="B45" s="11" t="inlineStr">
        <is>
          <t>IRIE Pascal Yannick</t>
        </is>
      </c>
      <c r="C45" s="11" t="n">
        <v>1159.2</v>
      </c>
      <c r="D45" s="11" t="n">
        <v>2</v>
      </c>
      <c r="E45" s="11" t="n">
        <v>44</v>
      </c>
      <c r="F45" s="11" t="n">
        <v>73</v>
      </c>
      <c r="G45" s="11" t="n">
        <v>136</v>
      </c>
      <c r="H45" s="11" t="n">
        <v>3409.8</v>
      </c>
      <c r="I45" s="11" t="inlineStr">
        <is>
          <t>83%</t>
        </is>
      </c>
      <c r="J45" s="11" t="inlineStr">
        <is>
          <t>Excellent</t>
        </is>
      </c>
    </row>
    <row r="46">
      <c r="A46" s="8" t="inlineStr">
        <is>
          <t>AA338EY TOYOTA URBAN CRUISER</t>
        </is>
      </c>
      <c r="B46" s="9" t="inlineStr">
        <is>
          <t>Daouda Coulibaly</t>
        </is>
      </c>
      <c r="C46" s="9" t="n">
        <v>1145.43</v>
      </c>
      <c r="D46" s="9" t="n">
        <v>1</v>
      </c>
      <c r="E46" s="9" t="n">
        <v>163</v>
      </c>
      <c r="F46" s="9" t="n">
        <v>67</v>
      </c>
      <c r="G46" s="9" t="n">
        <v>34.33</v>
      </c>
      <c r="H46" s="9" t="n">
        <v>1645.2</v>
      </c>
      <c r="I46" s="9" t="inlineStr">
        <is>
          <t>77%</t>
        </is>
      </c>
      <c r="J46" s="9" t="inlineStr">
        <is>
          <t>Good</t>
        </is>
      </c>
    </row>
    <row r="47">
      <c r="A47" s="10" t="inlineStr">
        <is>
          <t>AA537RK MITSUBISHI ASX</t>
        </is>
      </c>
      <c r="B47" s="11" t="inlineStr">
        <is>
          <t>Hermann DJEGBA</t>
        </is>
      </c>
      <c r="C47" s="11" t="n">
        <v>1112.26</v>
      </c>
      <c r="D47" s="11" t="n">
        <v>12</v>
      </c>
      <c r="E47" s="11" t="n">
        <v>185</v>
      </c>
      <c r="F47" s="11" t="n">
        <v>58</v>
      </c>
      <c r="G47" s="11" t="n">
        <v>110.6</v>
      </c>
      <c r="H47" s="11" t="n">
        <v>669</v>
      </c>
      <c r="I47" s="11" t="inlineStr">
        <is>
          <t>75%</t>
        </is>
      </c>
      <c r="J47" s="11" t="inlineStr">
        <is>
          <t>Good</t>
        </is>
      </c>
    </row>
    <row r="48">
      <c r="A48" s="8" t="inlineStr">
        <is>
          <t>493LX01 MITSUBISHI L200</t>
        </is>
      </c>
      <c r="B48" s="9" t="inlineStr">
        <is>
          <t>Nadia KOFFI</t>
        </is>
      </c>
      <c r="C48" s="9" t="n">
        <v>1110.47</v>
      </c>
      <c r="D48" s="9" t="n">
        <v>3</v>
      </c>
      <c r="E48" s="9" t="n">
        <v>186</v>
      </c>
      <c r="F48" s="9" t="n">
        <v>57</v>
      </c>
      <c r="G48" s="9" t="n">
        <v>137.65</v>
      </c>
      <c r="H48" s="9" t="n">
        <v>1000.2</v>
      </c>
      <c r="I48" s="9" t="inlineStr">
        <is>
          <t>75%</t>
        </is>
      </c>
      <c r="J48" s="9" t="inlineStr">
        <is>
          <t>Good</t>
        </is>
      </c>
    </row>
    <row r="49">
      <c r="A49" s="10" t="inlineStr">
        <is>
          <t>100LX01 RENAULT KOLEOS</t>
        </is>
      </c>
      <c r="B49" s="11" t="inlineStr">
        <is>
          <t>Olivier BAILLY-BECHET</t>
        </is>
      </c>
      <c r="C49" s="11" t="n">
        <v>1068.8</v>
      </c>
      <c r="D49" s="11" t="n">
        <v>19</v>
      </c>
      <c r="E49" s="11" t="n">
        <v>228</v>
      </c>
      <c r="F49" s="11" t="n">
        <v>12</v>
      </c>
      <c r="G49" s="11" t="n">
        <v>125.26</v>
      </c>
      <c r="H49" s="11" t="n">
        <v>93</v>
      </c>
      <c r="I49" s="11" t="inlineStr">
        <is>
          <t>74%</t>
        </is>
      </c>
      <c r="J49" s="11" t="inlineStr">
        <is>
          <t>Good</t>
        </is>
      </c>
    </row>
    <row r="50">
      <c r="A50" s="8" t="inlineStr">
        <is>
          <t>AA338EY TOYOTA URBAN CRUISER</t>
        </is>
      </c>
      <c r="B50" s="9" t="inlineStr">
        <is>
          <t>Fofana Ben</t>
        </is>
      </c>
      <c r="C50" s="9" t="n">
        <v>1055.84</v>
      </c>
      <c r="D50" s="9" t="n">
        <v>4</v>
      </c>
      <c r="E50" s="9" t="n">
        <v>149</v>
      </c>
      <c r="F50" s="9" t="n">
        <v>101</v>
      </c>
      <c r="G50" s="9" t="n">
        <v>154.68</v>
      </c>
      <c r="H50" s="9" t="n">
        <v>0</v>
      </c>
      <c r="I50" s="9" t="inlineStr">
        <is>
          <t>75%</t>
        </is>
      </c>
      <c r="J50" s="9" t="inlineStr">
        <is>
          <t>Good</t>
        </is>
      </c>
    </row>
    <row r="51">
      <c r="A51" s="10" t="inlineStr">
        <is>
          <t>AA612QA Suzuki GRAND Vitara</t>
        </is>
      </c>
      <c r="B51" s="11" t="inlineStr">
        <is>
          <t>Bertrand KENMOGNE</t>
        </is>
      </c>
      <c r="C51" s="11" t="n">
        <v>1038.37</v>
      </c>
      <c r="D51" s="11" t="n">
        <v>47</v>
      </c>
      <c r="E51" s="11" t="n">
        <v>270</v>
      </c>
      <c r="F51" s="11" t="n">
        <v>218</v>
      </c>
      <c r="G51" s="11" t="n">
        <v>526.95</v>
      </c>
      <c r="H51" s="11" t="n">
        <v>181.8</v>
      </c>
      <c r="I51" s="11" t="inlineStr">
        <is>
          <t>41%</t>
        </is>
      </c>
      <c r="J51" s="11" t="inlineStr">
        <is>
          <t>Average</t>
        </is>
      </c>
    </row>
    <row r="52">
      <c r="A52" s="8" t="inlineStr">
        <is>
          <t>905WWCI01 MITSUBISHI ECLIPSE</t>
        </is>
      </c>
      <c r="B52" s="9" t="inlineStr">
        <is>
          <t>Benjamin ADINGRA</t>
        </is>
      </c>
      <c r="C52" s="9" t="n">
        <v>1016.98</v>
      </c>
      <c r="D52" s="9" t="n">
        <v>7</v>
      </c>
      <c r="E52" s="9" t="n">
        <v>158</v>
      </c>
      <c r="F52" s="9" t="n">
        <v>38</v>
      </c>
      <c r="G52" s="9" t="n">
        <v>507.2</v>
      </c>
      <c r="H52" s="9" t="n">
        <v>183</v>
      </c>
      <c r="I52" s="9" t="inlineStr">
        <is>
          <t>76%</t>
        </is>
      </c>
      <c r="J52" s="9" t="inlineStr">
        <is>
          <t>Good</t>
        </is>
      </c>
    </row>
    <row r="53">
      <c r="A53" s="10" t="inlineStr">
        <is>
          <t>491LX01 Mitsubishi L200</t>
        </is>
      </c>
      <c r="B53" s="11" t="inlineStr">
        <is>
          <t>Ghislain KOUABENAN</t>
        </is>
      </c>
      <c r="C53" s="11" t="n">
        <v>1006.34</v>
      </c>
      <c r="D53" s="11" t="n">
        <v>3</v>
      </c>
      <c r="E53" s="11" t="n">
        <v>130</v>
      </c>
      <c r="F53" s="11" t="n">
        <v>37</v>
      </c>
      <c r="G53" s="11" t="n">
        <v>135.05</v>
      </c>
      <c r="H53" s="11" t="n">
        <v>193.2</v>
      </c>
      <c r="I53" s="11" t="inlineStr">
        <is>
          <t>82%</t>
        </is>
      </c>
      <c r="J53" s="11" t="inlineStr">
        <is>
          <t>Excellent</t>
        </is>
      </c>
    </row>
    <row r="54">
      <c r="A54" s="8" t="inlineStr">
        <is>
          <t>AA529SB Mitsubishi ASX</t>
        </is>
      </c>
      <c r="B54" s="9" t="inlineStr">
        <is>
          <t>Anicet BILE</t>
        </is>
      </c>
      <c r="C54" s="9" t="n">
        <v>1002.89</v>
      </c>
      <c r="D54" s="9" t="n">
        <v>6</v>
      </c>
      <c r="E54" s="9" t="n">
        <v>59</v>
      </c>
      <c r="F54" s="9" t="n">
        <v>57</v>
      </c>
      <c r="G54" s="9" t="n">
        <v>628.6799999999999</v>
      </c>
      <c r="H54" s="9" t="n">
        <v>0</v>
      </c>
      <c r="I54" s="9" t="inlineStr">
        <is>
          <t>84%</t>
        </is>
      </c>
      <c r="J54" s="9" t="inlineStr">
        <is>
          <t>Excellent</t>
        </is>
      </c>
    </row>
    <row r="55">
      <c r="A55" s="10" t="inlineStr">
        <is>
          <t>AA956FZ NISSAN NAVARA</t>
        </is>
      </c>
      <c r="B55" s="11" t="inlineStr">
        <is>
          <t>Amoussa OUAHIDY</t>
        </is>
      </c>
      <c r="C55" s="11" t="n">
        <v>984.79</v>
      </c>
      <c r="D55" s="11" t="n">
        <v>4</v>
      </c>
      <c r="E55" s="11" t="n">
        <v>150</v>
      </c>
      <c r="F55" s="11" t="n">
        <v>104</v>
      </c>
      <c r="G55" s="11" t="n">
        <v>46.97</v>
      </c>
      <c r="H55" s="11" t="n">
        <v>279</v>
      </c>
      <c r="I55" s="11" t="inlineStr">
        <is>
          <t>12%</t>
        </is>
      </c>
      <c r="J55" s="11" t="inlineStr">
        <is>
          <t>Risk</t>
        </is>
      </c>
    </row>
    <row r="56">
      <c r="A56" s="8" t="inlineStr">
        <is>
          <t>491LX01 Mitsubishi L200</t>
        </is>
      </c>
      <c r="B56" s="9" t="inlineStr">
        <is>
          <t>Ghislain KOUABENAN</t>
        </is>
      </c>
      <c r="C56" s="9" t="n">
        <v>941.14</v>
      </c>
      <c r="D56" s="9" t="n">
        <v>2</v>
      </c>
      <c r="E56" s="9" t="n">
        <v>115</v>
      </c>
      <c r="F56" s="9" t="n">
        <v>28</v>
      </c>
      <c r="G56" s="9" t="n">
        <v>75.98</v>
      </c>
      <c r="H56" s="9" t="n">
        <v>193.2</v>
      </c>
      <c r="I56" s="9" t="inlineStr">
        <is>
          <t>84%</t>
        </is>
      </c>
      <c r="J56" s="9" t="inlineStr">
        <is>
          <t>Excellent</t>
        </is>
      </c>
    </row>
    <row r="57">
      <c r="A57" s="10" t="inlineStr">
        <is>
          <t>607LE01 NISSAN MICRA</t>
        </is>
      </c>
      <c r="B57" s="11" t="inlineStr">
        <is>
          <t>Marie Cecile DA SYLVA</t>
        </is>
      </c>
      <c r="C57" s="11" t="n">
        <v>891.42</v>
      </c>
      <c r="D57" s="11" t="n">
        <v>11</v>
      </c>
      <c r="E57" s="11" t="n">
        <v>108</v>
      </c>
      <c r="F57" s="11" t="n">
        <v>30</v>
      </c>
      <c r="G57" s="11" t="n">
        <v>523.3200000000001</v>
      </c>
      <c r="H57" s="11" t="n">
        <v>0</v>
      </c>
      <c r="I57" s="11" t="inlineStr">
        <is>
          <t>79%</t>
        </is>
      </c>
      <c r="J57" s="11" t="inlineStr">
        <is>
          <t>Good</t>
        </is>
      </c>
    </row>
    <row r="58">
      <c r="A58" s="8" t="inlineStr">
        <is>
          <t>AA744FC SUZUKI DZIRE</t>
        </is>
      </c>
      <c r="B58" s="9" t="inlineStr">
        <is>
          <t>Franck WANSI</t>
        </is>
      </c>
      <c r="C58" s="9" t="n">
        <v>866.4400000000001</v>
      </c>
      <c r="D58" s="9" t="n">
        <v>9</v>
      </c>
      <c r="E58" s="9" t="n">
        <v>64</v>
      </c>
      <c r="F58" s="9" t="n">
        <v>27</v>
      </c>
      <c r="G58" s="9" t="n">
        <v>736.8</v>
      </c>
      <c r="H58" s="9" t="n">
        <v>0</v>
      </c>
      <c r="I58" s="9" t="inlineStr">
        <is>
          <t>82%</t>
        </is>
      </c>
      <c r="J58" s="9" t="inlineStr">
        <is>
          <t>Excellent</t>
        </is>
      </c>
    </row>
    <row r="59">
      <c r="A59" s="10" t="inlineStr">
        <is>
          <t>AA885EZ Toyota Belta</t>
        </is>
      </c>
      <c r="B59" s="11" t="inlineStr">
        <is>
          <t>Albert DAH</t>
        </is>
      </c>
      <c r="C59" s="11" t="n">
        <v>812.16</v>
      </c>
      <c r="D59" s="11" t="n">
        <v>14</v>
      </c>
      <c r="E59" s="11" t="n">
        <v>86</v>
      </c>
      <c r="F59" s="11" t="n">
        <v>34</v>
      </c>
      <c r="G59" s="11" t="n">
        <v>348.53</v>
      </c>
      <c r="H59" s="11" t="n">
        <v>120</v>
      </c>
      <c r="I59" s="11" t="inlineStr">
        <is>
          <t>79%</t>
        </is>
      </c>
      <c r="J59" s="11" t="inlineStr">
        <is>
          <t>Good</t>
        </is>
      </c>
    </row>
    <row r="60">
      <c r="A60" s="8" t="inlineStr">
        <is>
          <t>AA609HK Volkswagen Caddy</t>
        </is>
      </c>
      <c r="B60" s="9" t="inlineStr">
        <is>
          <t>Ahmed KONE</t>
        </is>
      </c>
      <c r="C60" s="9" t="n">
        <v>802.65</v>
      </c>
      <c r="D60" s="9" t="n">
        <v>2</v>
      </c>
      <c r="E60" s="9" t="n">
        <v>17</v>
      </c>
      <c r="F60" s="9" t="n">
        <v>4</v>
      </c>
      <c r="G60" s="9" t="n">
        <v>321.9</v>
      </c>
      <c r="H60" s="9" t="n">
        <v>523.2</v>
      </c>
      <c r="I60" s="9" t="inlineStr">
        <is>
          <t>94%</t>
        </is>
      </c>
      <c r="J60" s="9" t="inlineStr">
        <is>
          <t>Excellent</t>
        </is>
      </c>
    </row>
    <row r="61">
      <c r="A61" s="10" t="inlineStr">
        <is>
          <t>AA878EZ TOYOTA BELTA</t>
        </is>
      </c>
      <c r="B61" s="11" t="inlineStr">
        <is>
          <t>De Reynaud AKPESS</t>
        </is>
      </c>
      <c r="C61" s="11" t="n">
        <v>744.21</v>
      </c>
      <c r="D61" s="11" t="n">
        <v>1</v>
      </c>
      <c r="E61" s="11" t="n">
        <v>101</v>
      </c>
      <c r="F61" s="11" t="n">
        <v>29</v>
      </c>
      <c r="G61" s="11" t="n">
        <v>463.48</v>
      </c>
      <c r="H61" s="11" t="n">
        <v>0</v>
      </c>
      <c r="I61" s="11" t="inlineStr">
        <is>
          <t>79%</t>
        </is>
      </c>
      <c r="J61" s="11" t="inlineStr">
        <is>
          <t>Good</t>
        </is>
      </c>
    </row>
    <row r="62">
      <c r="A62" s="8" t="inlineStr">
        <is>
          <t>607LE01 NISSAN MICRA</t>
        </is>
      </c>
      <c r="B62" s="9" t="inlineStr">
        <is>
          <t>SIDIBE YAYA</t>
        </is>
      </c>
      <c r="C62" s="9" t="n">
        <v>742.89</v>
      </c>
      <c r="D62" s="9" t="n">
        <v>10</v>
      </c>
      <c r="E62" s="9" t="n">
        <v>85</v>
      </c>
      <c r="F62" s="9" t="n">
        <v>23</v>
      </c>
      <c r="G62" s="9" t="n">
        <v>427.83</v>
      </c>
      <c r="H62" s="9" t="n">
        <v>0</v>
      </c>
      <c r="I62" s="9" t="inlineStr">
        <is>
          <t>80%</t>
        </is>
      </c>
      <c r="J62" s="9" t="inlineStr">
        <is>
          <t>Excellent</t>
        </is>
      </c>
    </row>
    <row r="63">
      <c r="A63" s="10" t="inlineStr">
        <is>
          <t>3932LU01 Suzuki Dzire</t>
        </is>
      </c>
      <c r="B63" s="11" t="inlineStr">
        <is>
          <t>SOCIDA</t>
        </is>
      </c>
      <c r="C63" s="11" t="n">
        <v>689.92</v>
      </c>
      <c r="D63" s="11" t="n">
        <v>5</v>
      </c>
      <c r="E63" s="11" t="n">
        <v>25</v>
      </c>
      <c r="F63" s="11" t="n">
        <v>7</v>
      </c>
      <c r="G63" s="11" t="n">
        <v>628.17</v>
      </c>
      <c r="H63" s="11" t="n">
        <v>0</v>
      </c>
      <c r="I63" s="11" t="inlineStr">
        <is>
          <t>88%</t>
        </is>
      </c>
      <c r="J63" s="11" t="inlineStr">
        <is>
          <t>Excellent</t>
        </is>
      </c>
    </row>
    <row r="64">
      <c r="A64" s="8" t="inlineStr">
        <is>
          <t>1925LF01 NISSAN MICRA</t>
        </is>
      </c>
      <c r="B64" s="9" t="inlineStr">
        <is>
          <t>GNANDUI Amani</t>
        </is>
      </c>
      <c r="C64" s="9" t="n">
        <v>671.3200000000001</v>
      </c>
      <c r="D64" s="9" t="n">
        <v>1</v>
      </c>
      <c r="E64" s="9" t="n">
        <v>3</v>
      </c>
      <c r="F64" s="9" t="n">
        <v>70</v>
      </c>
      <c r="G64" s="9" t="n">
        <v>257.52</v>
      </c>
      <c r="H64" s="9" t="n">
        <v>0</v>
      </c>
      <c r="I64" s="9" t="inlineStr">
        <is>
          <t>87%</t>
        </is>
      </c>
      <c r="J64" s="9" t="inlineStr">
        <is>
          <t>Excellent</t>
        </is>
      </c>
    </row>
    <row r="65">
      <c r="A65" s="10" t="inlineStr">
        <is>
          <t>AA364EY TOYOTA URBAN CRUISER</t>
        </is>
      </c>
      <c r="B65" s="11" t="inlineStr">
        <is>
          <t>Julien MAHE</t>
        </is>
      </c>
      <c r="C65" s="11" t="n">
        <v>654.5599999999999</v>
      </c>
      <c r="D65" s="11" t="n">
        <v>18</v>
      </c>
      <c r="E65" s="11" t="n">
        <v>221</v>
      </c>
      <c r="F65" s="11" t="n">
        <v>62</v>
      </c>
      <c r="G65" s="11" t="n">
        <v>234.6</v>
      </c>
      <c r="H65" s="11" t="n">
        <v>123</v>
      </c>
      <c r="I65" s="11" t="inlineStr">
        <is>
          <t>49%</t>
        </is>
      </c>
      <c r="J65" s="11" t="inlineStr">
        <is>
          <t>Average</t>
        </is>
      </c>
    </row>
    <row r="66">
      <c r="A66" s="8" t="inlineStr">
        <is>
          <t>716LY01 SUZUKI S-PRESSO</t>
        </is>
      </c>
      <c r="B66" s="9" t="inlineStr">
        <is>
          <t>Stanilas ALLAH</t>
        </is>
      </c>
      <c r="C66" s="9" t="n">
        <v>631.08</v>
      </c>
      <c r="D66" s="9" t="n">
        <v>2</v>
      </c>
      <c r="E66" s="9" t="n">
        <v>189</v>
      </c>
      <c r="F66" s="9" t="n">
        <v>0</v>
      </c>
      <c r="G66" s="9" t="n">
        <v>236.18</v>
      </c>
      <c r="H66" s="9" t="n">
        <v>0</v>
      </c>
      <c r="I66" s="9" t="inlineStr">
        <is>
          <t>68%</t>
        </is>
      </c>
      <c r="J66" s="9" t="inlineStr">
        <is>
          <t>Good</t>
        </is>
      </c>
    </row>
    <row r="67">
      <c r="A67" s="10" t="inlineStr">
        <is>
          <t>1924LF01 NISSAN MICRA</t>
        </is>
      </c>
      <c r="B67" s="11" t="inlineStr">
        <is>
          <t>Grâce GONDO</t>
        </is>
      </c>
      <c r="C67" s="11" t="n">
        <v>604.51</v>
      </c>
      <c r="D67" s="11" t="n">
        <v>6</v>
      </c>
      <c r="E67" s="11" t="n">
        <v>35</v>
      </c>
      <c r="F67" s="11" t="n">
        <v>20</v>
      </c>
      <c r="G67" s="11" t="n">
        <v>465.43</v>
      </c>
      <c r="H67" s="11" t="n">
        <v>0</v>
      </c>
      <c r="I67" s="11" t="inlineStr">
        <is>
          <t>84%</t>
        </is>
      </c>
      <c r="J67" s="11" t="inlineStr">
        <is>
          <t>Excellent</t>
        </is>
      </c>
    </row>
    <row r="68">
      <c r="A68" s="8" t="inlineStr">
        <is>
          <t>3782LU01 Suzuki Dzire</t>
        </is>
      </c>
      <c r="B68" s="9" t="inlineStr">
        <is>
          <t>CFAO SARI</t>
        </is>
      </c>
      <c r="C68" s="9" t="n">
        <v>590.21</v>
      </c>
      <c r="D68" s="9" t="n">
        <v>4</v>
      </c>
      <c r="E68" s="9" t="n">
        <v>26</v>
      </c>
      <c r="F68" s="9" t="n">
        <v>11</v>
      </c>
      <c r="G68" s="9" t="n">
        <v>284.17</v>
      </c>
      <c r="H68" s="9" t="n">
        <v>0</v>
      </c>
      <c r="I68" s="9" t="inlineStr">
        <is>
          <t>90%</t>
        </is>
      </c>
      <c r="J68" s="9" t="inlineStr">
        <is>
          <t>Excellent</t>
        </is>
      </c>
    </row>
    <row r="69">
      <c r="A69" s="10" t="inlineStr">
        <is>
          <t>2168LY01  Mitsubishi ASX</t>
        </is>
      </c>
      <c r="B69" s="11" t="inlineStr">
        <is>
          <t>Bamisso LANTA</t>
        </is>
      </c>
      <c r="C69" s="11" t="n">
        <v>575.05</v>
      </c>
      <c r="D69" s="11" t="n">
        <v>7</v>
      </c>
      <c r="E69" s="11" t="n">
        <v>22</v>
      </c>
      <c r="F69" s="11" t="n">
        <v>5</v>
      </c>
      <c r="G69" s="11" t="n">
        <v>317.27</v>
      </c>
      <c r="H69" s="11" t="n">
        <v>0</v>
      </c>
      <c r="I69" s="11" t="inlineStr">
        <is>
          <t>90%</t>
        </is>
      </c>
      <c r="J69" s="11" t="inlineStr">
        <is>
          <t>Excellent</t>
        </is>
      </c>
    </row>
    <row r="70">
      <c r="A70" s="8" t="inlineStr">
        <is>
          <t>AB168AV - ISUZU DMAX</t>
        </is>
      </c>
      <c r="B70" s="9" t="inlineStr">
        <is>
          <t>Thierry OKOU</t>
        </is>
      </c>
      <c r="C70" s="9" t="n">
        <v>573.35</v>
      </c>
      <c r="D70" s="9" t="n">
        <v>0</v>
      </c>
      <c r="E70" s="9" t="n">
        <v>95</v>
      </c>
      <c r="F70" s="9" t="n">
        <v>17</v>
      </c>
      <c r="G70" s="9" t="n">
        <v>48.23</v>
      </c>
      <c r="H70" s="9" t="n">
        <v>0</v>
      </c>
      <c r="I70" s="9" t="inlineStr">
        <is>
          <t>80%</t>
        </is>
      </c>
      <c r="J70" s="9" t="inlineStr">
        <is>
          <t>Excellent</t>
        </is>
      </c>
    </row>
    <row r="71">
      <c r="A71" s="10" t="inlineStr">
        <is>
          <t>716LY01 SUZUKI S-PRESSO</t>
        </is>
      </c>
      <c r="B71" s="11" t="inlineStr">
        <is>
          <t>Stanilas ALLAH</t>
        </is>
      </c>
      <c r="C71" s="11" t="n">
        <v>569.71</v>
      </c>
      <c r="D71" s="11" t="n">
        <v>0</v>
      </c>
      <c r="E71" s="11" t="n">
        <v>205</v>
      </c>
      <c r="F71" s="11" t="n">
        <v>0</v>
      </c>
      <c r="G71" s="11" t="n">
        <v>223.5</v>
      </c>
      <c r="H71" s="11" t="n">
        <v>0</v>
      </c>
      <c r="I71" s="11" t="inlineStr">
        <is>
          <t>62%</t>
        </is>
      </c>
      <c r="J71" s="11" t="inlineStr">
        <is>
          <t>Good</t>
        </is>
      </c>
    </row>
    <row r="72">
      <c r="A72" s="8" t="inlineStr">
        <is>
          <t>3261KG01 Renault DUSTER</t>
        </is>
      </c>
      <c r="B72" s="9" t="inlineStr">
        <is>
          <t>Djaha Parfait</t>
        </is>
      </c>
      <c r="C72" s="9" t="n">
        <v>568.97</v>
      </c>
      <c r="D72" s="9" t="n">
        <v>11</v>
      </c>
      <c r="E72" s="9" t="n">
        <v>91</v>
      </c>
      <c r="F72" s="9" t="n">
        <v>1</v>
      </c>
      <c r="G72" s="9" t="n">
        <v>197.08</v>
      </c>
      <c r="H72" s="9" t="n">
        <v>0</v>
      </c>
      <c r="I72" s="9" t="inlineStr">
        <is>
          <t>78%</t>
        </is>
      </c>
      <c r="J72" s="9" t="inlineStr">
        <is>
          <t>Good</t>
        </is>
      </c>
    </row>
    <row r="73">
      <c r="A73" s="10" t="inlineStr">
        <is>
          <t>607LE01 NISSAN MICRA</t>
        </is>
      </c>
      <c r="B73" s="11" t="inlineStr">
        <is>
          <t>NIAMIEN KOUASSI HENRI JOËL</t>
        </is>
      </c>
      <c r="C73" s="11" t="n">
        <v>562.4400000000001</v>
      </c>
      <c r="D73" s="11" t="n">
        <v>6</v>
      </c>
      <c r="E73" s="11" t="n">
        <v>64</v>
      </c>
      <c r="F73" s="11" t="n">
        <v>17</v>
      </c>
      <c r="G73" s="11" t="n">
        <v>312.38</v>
      </c>
      <c r="H73" s="11" t="n">
        <v>0</v>
      </c>
      <c r="I73" s="11" t="inlineStr">
        <is>
          <t>80%</t>
        </is>
      </c>
      <c r="J73" s="11" t="inlineStr">
        <is>
          <t>Excellent</t>
        </is>
      </c>
    </row>
    <row r="74">
      <c r="A74" s="8" t="inlineStr">
        <is>
          <t>1925LF01 NISSAN MICRA</t>
        </is>
      </c>
      <c r="B74" s="9" t="inlineStr">
        <is>
          <t>Inès MIEZAN</t>
        </is>
      </c>
      <c r="C74" s="9" t="n">
        <v>473.85</v>
      </c>
      <c r="D74" s="9" t="n">
        <v>1</v>
      </c>
      <c r="E74" s="9" t="n">
        <v>3</v>
      </c>
      <c r="F74" s="9" t="n">
        <v>62</v>
      </c>
      <c r="G74" s="9" t="n">
        <v>80</v>
      </c>
      <c r="H74" s="9" t="n">
        <v>0</v>
      </c>
      <c r="I74" s="9" t="inlineStr">
        <is>
          <t>85%</t>
        </is>
      </c>
      <c r="J74" s="9" t="inlineStr">
        <is>
          <t>Excellent</t>
        </is>
      </c>
    </row>
    <row r="75">
      <c r="A75" s="10" t="inlineStr">
        <is>
          <t>1926LF01 NISSAN MICRA</t>
        </is>
      </c>
      <c r="B75" s="11" t="inlineStr">
        <is>
          <t>Madoussou FADIGA</t>
        </is>
      </c>
      <c r="C75" s="11" t="n">
        <v>457.93</v>
      </c>
      <c r="D75" s="11" t="n">
        <v>11</v>
      </c>
      <c r="E75" s="11" t="n">
        <v>52</v>
      </c>
      <c r="F75" s="11" t="n">
        <v>5</v>
      </c>
      <c r="G75" s="11" t="n">
        <v>420.72</v>
      </c>
      <c r="H75" s="11" t="n">
        <v>0</v>
      </c>
      <c r="I75" s="11" t="inlineStr">
        <is>
          <t>77%</t>
        </is>
      </c>
      <c r="J75" s="11" t="inlineStr">
        <is>
          <t>Good</t>
        </is>
      </c>
    </row>
    <row r="76">
      <c r="A76" s="8" t="inlineStr">
        <is>
          <t>2169LY01 MITSUBISHI ASX</t>
        </is>
      </c>
      <c r="B76" s="9" t="inlineStr">
        <is>
          <t>Maman MEITE</t>
        </is>
      </c>
      <c r="C76" s="9" t="n">
        <v>383.23</v>
      </c>
      <c r="D76" s="9" t="n">
        <v>2</v>
      </c>
      <c r="E76" s="9" t="n">
        <v>21</v>
      </c>
      <c r="F76" s="9" t="n">
        <v>12</v>
      </c>
      <c r="G76" s="9" t="n">
        <v>459.03</v>
      </c>
      <c r="H76" s="9" t="n">
        <v>0</v>
      </c>
      <c r="I76" s="9" t="inlineStr">
        <is>
          <t>83%</t>
        </is>
      </c>
      <c r="J76" s="9" t="inlineStr">
        <is>
          <t>Excellent</t>
        </is>
      </c>
    </row>
    <row r="77">
      <c r="A77" s="10" t="inlineStr">
        <is>
          <t>AA956FZ NISSAN NAVARA</t>
        </is>
      </c>
      <c r="B77" s="11" t="inlineStr">
        <is>
          <t>Moïse Yao</t>
        </is>
      </c>
      <c r="C77" s="11" t="n">
        <v>358.27</v>
      </c>
      <c r="D77" s="11" t="n">
        <v>0</v>
      </c>
      <c r="E77" s="11" t="n">
        <v>48</v>
      </c>
      <c r="F77" s="11" t="n">
        <v>24</v>
      </c>
      <c r="G77" s="11" t="n">
        <v>30.45</v>
      </c>
      <c r="H77" s="11" t="n">
        <v>63</v>
      </c>
      <c r="I77" s="11" t="inlineStr">
        <is>
          <t>30%</t>
        </is>
      </c>
      <c r="J77" s="11" t="inlineStr">
        <is>
          <t>Poor</t>
        </is>
      </c>
    </row>
    <row r="78">
      <c r="A78" s="8" t="inlineStr">
        <is>
          <t>AA876EZ Toyota Belta</t>
        </is>
      </c>
      <c r="B78" s="9" t="inlineStr">
        <is>
          <t>Marie Pierre N'GUESSAN</t>
        </is>
      </c>
      <c r="C78" s="9" t="n">
        <v>335.11</v>
      </c>
      <c r="D78" s="9" t="n">
        <v>6</v>
      </c>
      <c r="E78" s="9" t="n">
        <v>24</v>
      </c>
      <c r="F78" s="9" t="n">
        <v>8</v>
      </c>
      <c r="G78" s="9" t="n">
        <v>208.75</v>
      </c>
      <c r="H78" s="9" t="n">
        <v>0</v>
      </c>
      <c r="I78" s="9" t="inlineStr">
        <is>
          <t>83%</t>
        </is>
      </c>
      <c r="J78" s="9" t="inlineStr">
        <is>
          <t>Excellent</t>
        </is>
      </c>
    </row>
    <row r="79">
      <c r="A79" s="10" t="inlineStr">
        <is>
          <t>AA537RK MITSUBISHI ASX</t>
        </is>
      </c>
      <c r="B79" s="11" t="inlineStr">
        <is>
          <t>Dolourou TUO</t>
        </is>
      </c>
      <c r="C79" s="11" t="n">
        <v>300.64</v>
      </c>
      <c r="D79" s="11" t="n">
        <v>2</v>
      </c>
      <c r="E79" s="11" t="n">
        <v>15</v>
      </c>
      <c r="F79" s="11" t="n">
        <v>7</v>
      </c>
      <c r="G79" s="11" t="n">
        <v>62.32</v>
      </c>
      <c r="H79" s="11" t="n">
        <v>0</v>
      </c>
      <c r="I79" s="11" t="inlineStr">
        <is>
          <t>91%</t>
        </is>
      </c>
      <c r="J79" s="11" t="inlineStr">
        <is>
          <t>Excellent</t>
        </is>
      </c>
    </row>
    <row r="80">
      <c r="A80" s="8" t="inlineStr">
        <is>
          <t>907WWCI01 Mitsubishi L200</t>
        </is>
      </c>
      <c r="B80" s="9" t="inlineStr">
        <is>
          <t>Mathurin N'GUESSAN</t>
        </is>
      </c>
      <c r="C80" s="9" t="n">
        <v>287.77</v>
      </c>
      <c r="D80" s="9" t="n">
        <v>2</v>
      </c>
      <c r="E80" s="9" t="n">
        <v>55</v>
      </c>
      <c r="F80" s="9" t="n">
        <v>0</v>
      </c>
      <c r="G80" s="9" t="n">
        <v>138</v>
      </c>
      <c r="H80" s="9" t="n">
        <v>0</v>
      </c>
      <c r="I80" s="9" t="inlineStr">
        <is>
          <t>77%</t>
        </is>
      </c>
      <c r="J80" s="9" t="inlineStr">
        <is>
          <t>Good</t>
        </is>
      </c>
    </row>
    <row r="81">
      <c r="A81" s="10" t="inlineStr">
        <is>
          <t>AA338EY TOYOTA URBAN CRUISER</t>
        </is>
      </c>
      <c r="B81" s="11" t="inlineStr">
        <is>
          <t>Aubain BOSSIA</t>
        </is>
      </c>
      <c r="C81" s="11" t="n">
        <v>246.51</v>
      </c>
      <c r="D81" s="11" t="n">
        <v>0</v>
      </c>
      <c r="E81" s="11" t="n">
        <v>25</v>
      </c>
      <c r="F81" s="11" t="n">
        <v>14</v>
      </c>
      <c r="G81" s="11" t="n">
        <v>15.1</v>
      </c>
      <c r="H81" s="11" t="n">
        <v>0</v>
      </c>
      <c r="I81" s="11" t="inlineStr">
        <is>
          <t>84%</t>
        </is>
      </c>
      <c r="J81" s="11" t="inlineStr">
        <is>
          <t>Excellent</t>
        </is>
      </c>
    </row>
    <row r="82">
      <c r="A82" s="8" t="inlineStr">
        <is>
          <t>3932LU01 Suzuki Dzire</t>
        </is>
      </c>
      <c r="B82" s="9" t="inlineStr">
        <is>
          <t>Franck WANSI</t>
        </is>
      </c>
      <c r="C82" s="9" t="n">
        <v>217.8</v>
      </c>
      <c r="D82" s="9" t="n">
        <v>0</v>
      </c>
      <c r="E82" s="9" t="n">
        <v>3</v>
      </c>
      <c r="F82" s="9" t="n">
        <v>3</v>
      </c>
      <c r="G82" s="9" t="n">
        <v>246.92</v>
      </c>
      <c r="H82" s="9" t="n">
        <v>0</v>
      </c>
      <c r="I82" s="9" t="inlineStr">
        <is>
          <t>90%</t>
        </is>
      </c>
      <c r="J82" s="9" t="inlineStr">
        <is>
          <t>Excellent</t>
        </is>
      </c>
    </row>
    <row r="83">
      <c r="A83" s="10" t="inlineStr">
        <is>
          <t>716LY01 SUZUKI S-PRESSO</t>
        </is>
      </c>
      <c r="B83" s="11" t="inlineStr">
        <is>
          <t>Zanga TRAORE</t>
        </is>
      </c>
      <c r="C83" s="11" t="n">
        <v>206.63</v>
      </c>
      <c r="D83" s="11" t="n">
        <v>2</v>
      </c>
      <c r="E83" s="11" t="n">
        <v>60</v>
      </c>
      <c r="F83" s="11" t="n">
        <v>0</v>
      </c>
      <c r="G83" s="11" t="n">
        <v>76</v>
      </c>
      <c r="H83" s="11" t="n">
        <v>0</v>
      </c>
      <c r="I83" s="11" t="inlineStr">
        <is>
          <t>67%</t>
        </is>
      </c>
      <c r="J83" s="11" t="inlineStr">
        <is>
          <t>Good</t>
        </is>
      </c>
    </row>
    <row r="84">
      <c r="A84" s="8" t="inlineStr">
        <is>
          <t>AA364FH TOYOTA HILUX</t>
        </is>
      </c>
      <c r="B84" s="9" t="inlineStr">
        <is>
          <t>Amoussa OUAHIDY</t>
        </is>
      </c>
      <c r="C84" s="9" t="n">
        <v>196.14</v>
      </c>
      <c r="D84" s="9" t="n">
        <v>3</v>
      </c>
      <c r="E84" s="9" t="n">
        <v>11</v>
      </c>
      <c r="F84" s="9" t="n">
        <v>1</v>
      </c>
      <c r="G84" s="9" t="n">
        <v>56.52</v>
      </c>
      <c r="H84" s="9" t="n">
        <v>0</v>
      </c>
      <c r="I84" s="9" t="inlineStr">
        <is>
          <t>90%</t>
        </is>
      </c>
      <c r="J84" s="9" t="inlineStr">
        <is>
          <t>Excellent</t>
        </is>
      </c>
    </row>
    <row r="85">
      <c r="A85" s="10" t="inlineStr">
        <is>
          <t>AA956FZ NISSAN NAVARA</t>
        </is>
      </c>
      <c r="B85" s="11" t="inlineStr">
        <is>
          <t>SOCIDA</t>
        </is>
      </c>
      <c r="C85" s="11" t="n">
        <v>180.36</v>
      </c>
      <c r="D85" s="11" t="n">
        <v>8</v>
      </c>
      <c r="E85" s="11" t="n">
        <v>9</v>
      </c>
      <c r="F85" s="11" t="n">
        <v>8</v>
      </c>
      <c r="G85" s="11" t="n">
        <v>10.62</v>
      </c>
      <c r="H85" s="11" t="n">
        <v>0</v>
      </c>
      <c r="I85" s="11" t="inlineStr">
        <is>
          <t>45%</t>
        </is>
      </c>
      <c r="J85" s="11" t="inlineStr">
        <is>
          <t>Average</t>
        </is>
      </c>
    </row>
    <row r="86">
      <c r="A86" s="8" t="inlineStr">
        <is>
          <t>AA360FH TOYOTA HILUX</t>
        </is>
      </c>
      <c r="B86" s="9" t="inlineStr">
        <is>
          <t>Amoussa OUAHIDY</t>
        </is>
      </c>
      <c r="C86" s="9" t="n">
        <v>177.87</v>
      </c>
      <c r="D86" s="9" t="n">
        <v>4</v>
      </c>
      <c r="E86" s="9" t="n">
        <v>15</v>
      </c>
      <c r="F86" s="9" t="n">
        <v>10</v>
      </c>
      <c r="G86" s="9" t="n">
        <v>176.37</v>
      </c>
      <c r="H86" s="9" t="n">
        <v>0</v>
      </c>
      <c r="I86" s="9" t="inlineStr">
        <is>
          <t>76%</t>
        </is>
      </c>
      <c r="J86" s="9" t="inlineStr">
        <is>
          <t>Good</t>
        </is>
      </c>
    </row>
    <row r="87">
      <c r="A87" s="10" t="inlineStr">
        <is>
          <t>716LY01 SUZUKI S-PRESSO</t>
        </is>
      </c>
      <c r="B87" s="11" t="inlineStr">
        <is>
          <t>AUTRES_UTILSATEUR TEMPORAIRE</t>
        </is>
      </c>
      <c r="C87" s="11" t="n">
        <v>167.95</v>
      </c>
      <c r="D87" s="11" t="n">
        <v>0</v>
      </c>
      <c r="E87" s="11" t="n">
        <v>67</v>
      </c>
      <c r="F87" s="11" t="n">
        <v>0</v>
      </c>
      <c r="G87" s="11" t="n">
        <v>86.12</v>
      </c>
      <c r="H87" s="11" t="n">
        <v>0</v>
      </c>
      <c r="I87" s="11" t="inlineStr">
        <is>
          <t>58%</t>
        </is>
      </c>
      <c r="J87" s="11" t="inlineStr">
        <is>
          <t>Average</t>
        </is>
      </c>
    </row>
    <row r="88">
      <c r="A88" s="8" t="inlineStr">
        <is>
          <t>3932LU01 Suzuki Dzire</t>
        </is>
      </c>
      <c r="B88" s="9" t="inlineStr">
        <is>
          <t>Stanilas ALLAH</t>
        </is>
      </c>
      <c r="C88" s="9" t="n">
        <v>159.99</v>
      </c>
      <c r="D88" s="9" t="n">
        <v>2</v>
      </c>
      <c r="E88" s="9" t="n">
        <v>4</v>
      </c>
      <c r="F88" s="9" t="n">
        <v>1</v>
      </c>
      <c r="G88" s="9" t="n">
        <v>26</v>
      </c>
      <c r="H88" s="9" t="n">
        <v>0</v>
      </c>
      <c r="I88" s="9" t="inlineStr">
        <is>
          <t>94%</t>
        </is>
      </c>
      <c r="J88" s="9" t="inlineStr">
        <is>
          <t>Excellent</t>
        </is>
      </c>
    </row>
    <row r="89">
      <c r="A89" s="10" t="inlineStr">
        <is>
          <t>3932LU01 Suzuki Dzire</t>
        </is>
      </c>
      <c r="B89" s="11" t="inlineStr">
        <is>
          <t>AUTRES_UTILSATEUR TEMPORAIRE</t>
        </is>
      </c>
      <c r="C89" s="11" t="n">
        <v>158.28</v>
      </c>
      <c r="D89" s="11" t="n">
        <v>3</v>
      </c>
      <c r="E89" s="11" t="n">
        <v>4</v>
      </c>
      <c r="F89" s="11" t="n">
        <v>0</v>
      </c>
      <c r="G89" s="11" t="n">
        <v>71.7</v>
      </c>
      <c r="H89" s="11" t="n">
        <v>0</v>
      </c>
      <c r="I89" s="11" t="inlineStr">
        <is>
          <t>92%</t>
        </is>
      </c>
      <c r="J89" s="11" t="inlineStr">
        <is>
          <t>Excellent</t>
        </is>
      </c>
    </row>
    <row r="90">
      <c r="A90" s="8" t="inlineStr">
        <is>
          <t>3932LU01 Suzuki Dzire</t>
        </is>
      </c>
      <c r="B90" s="9" t="inlineStr">
        <is>
          <t>Marie Pierre N'GUESSAN</t>
        </is>
      </c>
      <c r="C90" s="9" t="n">
        <v>140.66</v>
      </c>
      <c r="D90" s="9" t="n">
        <v>1</v>
      </c>
      <c r="E90" s="9" t="n">
        <v>8</v>
      </c>
      <c r="F90" s="9" t="n">
        <v>1</v>
      </c>
      <c r="G90" s="9" t="n">
        <v>100.15</v>
      </c>
      <c r="H90" s="9" t="n">
        <v>0</v>
      </c>
      <c r="I90" s="9" t="inlineStr">
        <is>
          <t>88%</t>
        </is>
      </c>
      <c r="J90" s="9" t="inlineStr">
        <is>
          <t>Excellent</t>
        </is>
      </c>
    </row>
    <row r="91">
      <c r="A91" s="10" t="inlineStr">
        <is>
          <t>AA364FH TOYOTA HILUX</t>
        </is>
      </c>
      <c r="B91" s="11" t="inlineStr">
        <is>
          <t>SOCIDA</t>
        </is>
      </c>
      <c r="C91" s="11" t="n">
        <v>133.88</v>
      </c>
      <c r="D91" s="11" t="n">
        <v>4</v>
      </c>
      <c r="E91" s="11" t="n">
        <v>10</v>
      </c>
      <c r="F91" s="11" t="n">
        <v>3</v>
      </c>
      <c r="G91" s="11" t="n">
        <v>64.63</v>
      </c>
      <c r="H91" s="11" t="n">
        <v>0</v>
      </c>
      <c r="I91" s="11" t="inlineStr">
        <is>
          <t>82%</t>
        </is>
      </c>
      <c r="J91" s="11" t="inlineStr">
        <is>
          <t>Excellent</t>
        </is>
      </c>
    </row>
    <row r="92">
      <c r="A92" s="8" t="inlineStr">
        <is>
          <t>1926LF01 NISSAN MICRA</t>
        </is>
      </c>
      <c r="B92" s="9" t="inlineStr">
        <is>
          <t>SOUMAHORO Amed</t>
        </is>
      </c>
      <c r="C92" s="9" t="n">
        <v>127.84</v>
      </c>
      <c r="D92" s="9" t="n">
        <v>2</v>
      </c>
      <c r="E92" s="9" t="n">
        <v>14</v>
      </c>
      <c r="F92" s="9" t="n">
        <v>1</v>
      </c>
      <c r="G92" s="9" t="n">
        <v>207.05</v>
      </c>
      <c r="H92" s="9" t="n">
        <v>0</v>
      </c>
      <c r="I92" s="9" t="inlineStr">
        <is>
          <t>75%</t>
        </is>
      </c>
      <c r="J92" s="9" t="inlineStr">
        <is>
          <t>Good</t>
        </is>
      </c>
    </row>
    <row r="93">
      <c r="A93" s="10" t="inlineStr">
        <is>
          <t>490LX01 MITSUBISHI L200</t>
        </is>
      </c>
      <c r="B93" s="11" t="inlineStr">
        <is>
          <t>BLE Elisée</t>
        </is>
      </c>
      <c r="C93" s="11" t="n">
        <v>114.41</v>
      </c>
      <c r="D93" s="11" t="n">
        <v>0</v>
      </c>
      <c r="E93" s="11" t="n">
        <v>39</v>
      </c>
      <c r="F93" s="11" t="n">
        <v>7</v>
      </c>
      <c r="G93" s="11" t="n">
        <v>12</v>
      </c>
      <c r="H93" s="11" t="n">
        <v>0</v>
      </c>
      <c r="I93" s="11" t="inlineStr">
        <is>
          <t>60%</t>
        </is>
      </c>
      <c r="J93" s="11" t="inlineStr">
        <is>
          <t>Good</t>
        </is>
      </c>
    </row>
    <row r="94">
      <c r="A94" s="8" t="inlineStr">
        <is>
          <t>491LX01 Mitsubishi L200</t>
        </is>
      </c>
      <c r="B94" s="9" t="inlineStr">
        <is>
          <t>Mathurin N'GUESSAN</t>
        </is>
      </c>
      <c r="C94" s="9" t="n">
        <v>89.98999999999999</v>
      </c>
      <c r="D94" s="9" t="n">
        <v>0</v>
      </c>
      <c r="E94" s="9" t="n">
        <v>3</v>
      </c>
      <c r="F94" s="9" t="n">
        <v>3</v>
      </c>
      <c r="G94" s="9" t="n">
        <v>12</v>
      </c>
      <c r="H94" s="9" t="n">
        <v>0</v>
      </c>
      <c r="I94" s="9" t="inlineStr">
        <is>
          <t>94%</t>
        </is>
      </c>
      <c r="J94" s="9" t="inlineStr">
        <is>
          <t>Excellent</t>
        </is>
      </c>
    </row>
    <row r="95">
      <c r="A95" s="10" t="inlineStr">
        <is>
          <t>716LY01 SUZUKI S-PRESSO</t>
        </is>
      </c>
      <c r="B95" s="11" t="inlineStr">
        <is>
          <t>CFAO SARI</t>
        </is>
      </c>
      <c r="C95" s="11" t="n">
        <v>82.34</v>
      </c>
      <c r="D95" s="11" t="n">
        <v>0</v>
      </c>
      <c r="E95" s="11" t="n">
        <v>49</v>
      </c>
      <c r="F95" s="11" t="n">
        <v>0</v>
      </c>
      <c r="G95" s="11" t="n">
        <v>27.32</v>
      </c>
      <c r="H95" s="11" t="n">
        <v>0</v>
      </c>
      <c r="I95" s="11" t="inlineStr">
        <is>
          <t>40%</t>
        </is>
      </c>
      <c r="J95" s="11" t="inlineStr">
        <is>
          <t>Average</t>
        </is>
      </c>
    </row>
    <row r="96">
      <c r="A96" s="8" t="inlineStr">
        <is>
          <t>AA885EZ Toyota Belta</t>
        </is>
      </c>
      <c r="B96" s="9" t="inlineStr">
        <is>
          <t>Henri BLEOU</t>
        </is>
      </c>
      <c r="C96" s="9" t="n">
        <v>81.31999999999999</v>
      </c>
      <c r="D96" s="9" t="n">
        <v>2</v>
      </c>
      <c r="E96" s="9" t="n">
        <v>4</v>
      </c>
      <c r="F96" s="9" t="n">
        <v>4</v>
      </c>
      <c r="G96" s="9" t="n">
        <v>16</v>
      </c>
      <c r="H96" s="9" t="n">
        <v>0</v>
      </c>
      <c r="I96" s="9" t="inlineStr">
        <is>
          <t>85%</t>
        </is>
      </c>
      <c r="J96" s="9" t="inlineStr">
        <is>
          <t>Excellent</t>
        </is>
      </c>
    </row>
    <row r="97">
      <c r="A97" s="10" t="inlineStr">
        <is>
          <t>3908LF01 RENAULT DUSTER</t>
        </is>
      </c>
      <c r="B97" s="11" t="inlineStr">
        <is>
          <t>Halil TANGRA</t>
        </is>
      </c>
      <c r="C97" s="11" t="n">
        <v>79.87</v>
      </c>
      <c r="D97" s="11" t="n">
        <v>0</v>
      </c>
      <c r="E97" s="11" t="n">
        <v>13</v>
      </c>
      <c r="F97" s="11" t="n">
        <v>4</v>
      </c>
      <c r="G97" s="11" t="n">
        <v>45.23</v>
      </c>
      <c r="H97" s="11" t="n">
        <v>0</v>
      </c>
      <c r="I97" s="11" t="inlineStr">
        <is>
          <t>75%</t>
        </is>
      </c>
      <c r="J97" s="11" t="inlineStr">
        <is>
          <t>Good</t>
        </is>
      </c>
    </row>
    <row r="98">
      <c r="A98" s="8" t="inlineStr">
        <is>
          <t>3932LU01 Suzuki Dzire</t>
        </is>
      </c>
      <c r="B98" s="9" t="inlineStr">
        <is>
          <t>Clovis KOUACOU</t>
        </is>
      </c>
      <c r="C98" s="9" t="n">
        <v>70.05</v>
      </c>
      <c r="D98" s="9" t="n">
        <v>0</v>
      </c>
      <c r="E98" s="9" t="n">
        <v>1</v>
      </c>
      <c r="F98" s="9" t="n">
        <v>1</v>
      </c>
      <c r="G98" s="9" t="n">
        <v>25.9</v>
      </c>
      <c r="H98" s="9" t="n">
        <v>0</v>
      </c>
      <c r="I98" s="9" t="inlineStr">
        <is>
          <t>96%</t>
        </is>
      </c>
      <c r="J98" s="9" t="inlineStr">
        <is>
          <t>Excellent</t>
        </is>
      </c>
    </row>
    <row r="99">
      <c r="A99" s="10" t="inlineStr">
        <is>
          <t>3932LU01 Suzuki Dzire</t>
        </is>
      </c>
      <c r="B99" s="11" t="inlineStr">
        <is>
          <t>AKA JEAN FRANçOIS REGIS</t>
        </is>
      </c>
      <c r="C99" s="11" t="n">
        <v>48.66</v>
      </c>
      <c r="D99" s="11" t="n">
        <v>1</v>
      </c>
      <c r="E99" s="11" t="n">
        <v>6</v>
      </c>
      <c r="F99" s="11" t="n">
        <v>3</v>
      </c>
      <c r="G99" s="11" t="n">
        <v>92.90000000000001</v>
      </c>
      <c r="H99" s="11" t="n">
        <v>0</v>
      </c>
      <c r="I99" s="11" t="inlineStr">
        <is>
          <t>66%</t>
        </is>
      </c>
      <c r="J99" s="11" t="inlineStr">
        <is>
          <t>Good</t>
        </is>
      </c>
    </row>
    <row r="100">
      <c r="A100" s="8" t="inlineStr">
        <is>
          <t>AA744FC SUZUKI DZIRE</t>
        </is>
      </c>
      <c r="B100" s="9" t="inlineStr">
        <is>
          <t>AKA JEAN FRANçOIS REGIS</t>
        </is>
      </c>
      <c r="C100" s="9" t="n">
        <v>44.11</v>
      </c>
      <c r="D100" s="9" t="n">
        <v>0</v>
      </c>
      <c r="E100" s="9" t="n">
        <v>3</v>
      </c>
      <c r="F100" s="9" t="n">
        <v>0</v>
      </c>
      <c r="G100" s="9" t="n">
        <v>10</v>
      </c>
      <c r="H100" s="9" t="n">
        <v>0</v>
      </c>
      <c r="I100" s="9" t="inlineStr">
        <is>
          <t>94%</t>
        </is>
      </c>
      <c r="J100" s="9" t="inlineStr">
        <is>
          <t>Excellent</t>
        </is>
      </c>
    </row>
    <row r="101">
      <c r="A101" s="10" t="inlineStr">
        <is>
          <t>716LY01 SUZUKI S-PRESSO</t>
        </is>
      </c>
      <c r="B101" s="11" t="inlineStr">
        <is>
          <t>Amoussa OUAHIDY</t>
        </is>
      </c>
      <c r="C101" s="11" t="n">
        <v>42.67</v>
      </c>
      <c r="D101" s="11" t="n">
        <v>0</v>
      </c>
      <c r="E101" s="11" t="n">
        <v>18</v>
      </c>
      <c r="F101" s="11" t="n">
        <v>0</v>
      </c>
      <c r="G101" s="11" t="n">
        <v>26</v>
      </c>
      <c r="H101" s="11" t="n">
        <v>0</v>
      </c>
      <c r="I101" s="11" t="inlineStr">
        <is>
          <t>56%</t>
        </is>
      </c>
      <c r="J101" s="11" t="inlineStr">
        <is>
          <t>Average</t>
        </is>
      </c>
    </row>
    <row r="102">
      <c r="A102" s="8" t="inlineStr">
        <is>
          <t>AA609HK Volkswagen Caddy</t>
        </is>
      </c>
      <c r="B102" s="9" t="inlineStr">
        <is>
          <t>SOCIDA</t>
        </is>
      </c>
      <c r="C102" s="9" t="n">
        <v>40.67</v>
      </c>
      <c r="D102" s="9" t="n">
        <v>0</v>
      </c>
      <c r="E102" s="9" t="n">
        <v>2</v>
      </c>
      <c r="F102" s="9" t="n">
        <v>1</v>
      </c>
      <c r="G102" s="9" t="n">
        <v>42.47</v>
      </c>
      <c r="H102" s="9" t="n">
        <v>0</v>
      </c>
      <c r="I102" s="9" t="inlineStr">
        <is>
          <t>88%</t>
        </is>
      </c>
      <c r="J102" s="9" t="inlineStr">
        <is>
          <t>Excellent</t>
        </is>
      </c>
    </row>
    <row r="103">
      <c r="A103" s="10" t="inlineStr">
        <is>
          <t>1928LF01 NISSAN MICRA</t>
        </is>
      </c>
      <c r="B103" s="11" t="inlineStr">
        <is>
          <t>Françoise N'GUESSAN</t>
        </is>
      </c>
      <c r="C103" s="11" t="n">
        <v>39.35</v>
      </c>
      <c r="D103" s="11" t="n">
        <v>0</v>
      </c>
      <c r="E103" s="11" t="n">
        <v>5</v>
      </c>
      <c r="F103" s="11" t="n">
        <v>0</v>
      </c>
      <c r="G103" s="11" t="n">
        <v>2</v>
      </c>
      <c r="H103" s="11" t="n">
        <v>0</v>
      </c>
      <c r="I103" s="11" t="inlineStr">
        <is>
          <t>88%</t>
        </is>
      </c>
      <c r="J103" s="11" t="inlineStr">
        <is>
          <t>Excellent</t>
        </is>
      </c>
    </row>
    <row r="104">
      <c r="A104" s="8" t="inlineStr">
        <is>
          <t>AA956FZ NISSAN NAVARA</t>
        </is>
      </c>
      <c r="B104" s="9" t="inlineStr">
        <is>
          <t>Sylla MOYAGABY</t>
        </is>
      </c>
      <c r="C104" s="9" t="n">
        <v>32.27</v>
      </c>
      <c r="D104" s="9" t="n">
        <v>0</v>
      </c>
      <c r="E104" s="9" t="n">
        <v>2</v>
      </c>
      <c r="F104" s="9" t="n">
        <v>0</v>
      </c>
      <c r="G104" s="9" t="n">
        <v>29.4</v>
      </c>
      <c r="H104" s="9" t="n">
        <v>0</v>
      </c>
      <c r="I104" s="9" t="inlineStr">
        <is>
          <t>66%</t>
        </is>
      </c>
      <c r="J104" s="9" t="inlineStr">
        <is>
          <t>Good</t>
        </is>
      </c>
    </row>
    <row r="105">
      <c r="A105" s="10" t="inlineStr">
        <is>
          <t>AA744FC SUZUKI DZIRE</t>
        </is>
      </c>
      <c r="B105" s="11" t="inlineStr">
        <is>
          <t>Moïse Yao</t>
        </is>
      </c>
      <c r="C105" s="11" t="n">
        <v>31.46</v>
      </c>
      <c r="D105" s="11" t="n">
        <v>3</v>
      </c>
      <c r="E105" s="11" t="n">
        <v>7</v>
      </c>
      <c r="F105" s="11" t="n">
        <v>6</v>
      </c>
      <c r="G105" s="11" t="n">
        <v>43.1</v>
      </c>
      <c r="H105" s="11" t="n">
        <v>0</v>
      </c>
      <c r="I105" s="11" t="inlineStr">
        <is>
          <t>34%</t>
        </is>
      </c>
      <c r="J105" s="11" t="inlineStr">
        <is>
          <t>Poor</t>
        </is>
      </c>
    </row>
    <row r="106">
      <c r="A106" s="8" t="inlineStr">
        <is>
          <t>AA885EZ Toyota Belta</t>
        </is>
      </c>
      <c r="B106" s="9" t="inlineStr">
        <is>
          <t>Stanilas ALLAH</t>
        </is>
      </c>
      <c r="C106" s="9" t="n">
        <v>31.14</v>
      </c>
      <c r="D106" s="9" t="n">
        <v>1</v>
      </c>
      <c r="E106" s="9" t="n">
        <v>0</v>
      </c>
      <c r="F106" s="9" t="n">
        <v>0</v>
      </c>
      <c r="G106" s="9" t="n">
        <v>18.43</v>
      </c>
      <c r="H106" s="9" t="n">
        <v>0</v>
      </c>
      <c r="I106" s="9" t="inlineStr">
        <is>
          <t>91%</t>
        </is>
      </c>
      <c r="J106" s="9" t="inlineStr">
        <is>
          <t>Excellent</t>
        </is>
      </c>
    </row>
    <row r="107">
      <c r="A107" s="10" t="inlineStr">
        <is>
          <t>3932LU01 Suzuki Dzire</t>
        </is>
      </c>
      <c r="B107" s="11" t="inlineStr">
        <is>
          <t>Moïse Yao</t>
        </is>
      </c>
      <c r="C107" s="11" t="n">
        <v>24.64</v>
      </c>
      <c r="D107" s="11" t="n">
        <v>0</v>
      </c>
      <c r="E107" s="11" t="n">
        <v>0</v>
      </c>
      <c r="F107" s="11" t="n">
        <v>0</v>
      </c>
      <c r="G107" s="11" t="n">
        <v>74</v>
      </c>
      <c r="H107" s="11" t="n">
        <v>0</v>
      </c>
      <c r="I107" s="11" t="inlineStr">
        <is>
          <t>84%</t>
        </is>
      </c>
      <c r="J107" s="11" t="inlineStr">
        <is>
          <t>Excellent</t>
        </is>
      </c>
    </row>
    <row r="108">
      <c r="A108" s="8" t="inlineStr">
        <is>
          <t>AA364FH TOYOTA HILUX</t>
        </is>
      </c>
      <c r="B108" s="9" t="inlineStr">
        <is>
          <t>Clovis KOUACOU</t>
        </is>
      </c>
      <c r="C108" s="9" t="n">
        <v>23.5</v>
      </c>
      <c r="D108" s="9" t="n">
        <v>1</v>
      </c>
      <c r="E108" s="9" t="n">
        <v>2</v>
      </c>
      <c r="F108" s="9" t="n">
        <v>0</v>
      </c>
      <c r="G108" s="9" t="n">
        <v>26.08</v>
      </c>
      <c r="H108" s="9" t="n">
        <v>0</v>
      </c>
      <c r="I108" s="9" t="inlineStr">
        <is>
          <t>79%</t>
        </is>
      </c>
      <c r="J108" s="9" t="inlineStr">
        <is>
          <t>Good</t>
        </is>
      </c>
    </row>
    <row r="109">
      <c r="A109" s="10" t="inlineStr">
        <is>
          <t>3932LU01 Suzuki Dzire</t>
        </is>
      </c>
      <c r="B109" s="11" t="inlineStr">
        <is>
          <t>CFAO SARI</t>
        </is>
      </c>
      <c r="C109" s="11" t="n">
        <v>17.9</v>
      </c>
      <c r="D109" s="11" t="n">
        <v>0</v>
      </c>
      <c r="E109" s="11" t="n">
        <v>0</v>
      </c>
      <c r="F109" s="11" t="n">
        <v>0</v>
      </c>
      <c r="G109" s="11" t="n">
        <v>28.13</v>
      </c>
      <c r="H109" s="11" t="n">
        <v>0</v>
      </c>
      <c r="I109" s="11" t="inlineStr">
        <is>
          <t>95%</t>
        </is>
      </c>
      <c r="J109" s="11" t="inlineStr">
        <is>
          <t>Excellent</t>
        </is>
      </c>
    </row>
    <row r="110">
      <c r="A110" s="8" t="inlineStr">
        <is>
          <t>AA744FC SUZUKI DZIRE</t>
        </is>
      </c>
      <c r="B110" s="9" t="inlineStr">
        <is>
          <t>Clovis KOUACOU</t>
        </is>
      </c>
      <c r="C110" s="9" t="n">
        <v>11.81</v>
      </c>
      <c r="D110" s="9" t="n">
        <v>0</v>
      </c>
      <c r="E110" s="9" t="n">
        <v>0</v>
      </c>
      <c r="F110" s="9" t="n">
        <v>0</v>
      </c>
      <c r="G110" s="9" t="n">
        <v>2.4</v>
      </c>
      <c r="H110" s="9" t="n">
        <v>0</v>
      </c>
      <c r="I110" s="9" t="inlineStr">
        <is>
          <t>100%</t>
        </is>
      </c>
      <c r="J110" s="9" t="inlineStr">
        <is>
          <t>Excellent</t>
        </is>
      </c>
    </row>
    <row r="111">
      <c r="A111" s="10" t="inlineStr">
        <is>
          <t>3782LU01 Suzuki Dzire</t>
        </is>
      </c>
      <c r="B111" s="11" t="inlineStr">
        <is>
          <t>AUTRES_UTILSATEUR TEMPORAIRE</t>
        </is>
      </c>
      <c r="C111" s="11" t="n">
        <v>10.91</v>
      </c>
      <c r="D111" s="11" t="n">
        <v>0</v>
      </c>
      <c r="E111" s="11" t="n">
        <v>0</v>
      </c>
      <c r="F111" s="11" t="n">
        <v>0</v>
      </c>
      <c r="G111" s="11" t="n">
        <v>2</v>
      </c>
      <c r="H111" s="11" t="n">
        <v>0</v>
      </c>
      <c r="I111" s="11" t="inlineStr">
        <is>
          <t>100%</t>
        </is>
      </c>
      <c r="J111" s="11" t="inlineStr">
        <is>
          <t>Excellent</t>
        </is>
      </c>
    </row>
    <row r="112">
      <c r="A112" s="8" t="inlineStr">
        <is>
          <t>AA360FH TOYOTA HILUX</t>
        </is>
      </c>
      <c r="B112" s="9" t="inlineStr">
        <is>
          <t>Amoussa OUAHIDY</t>
        </is>
      </c>
      <c r="C112" s="9" t="n">
        <v>9.529999999999999</v>
      </c>
      <c r="D112" s="9" t="n">
        <v>2</v>
      </c>
      <c r="E112" s="9" t="n">
        <v>2</v>
      </c>
      <c r="F112" s="9" t="n">
        <v>3</v>
      </c>
      <c r="G112" s="9" t="n">
        <v>0</v>
      </c>
      <c r="H112" s="9" t="n">
        <v>0</v>
      </c>
      <c r="I112" s="9" t="inlineStr">
        <is>
          <t>6%</t>
        </is>
      </c>
      <c r="J112" s="9" t="inlineStr">
        <is>
          <t>Risk</t>
        </is>
      </c>
    </row>
    <row r="113">
      <c r="A113" s="10" t="inlineStr">
        <is>
          <t>AA364FH TOYOTA HILUX</t>
        </is>
      </c>
      <c r="B113" s="11" t="inlineStr">
        <is>
          <t>Clovis KOUACOU</t>
        </is>
      </c>
      <c r="C113" s="11" t="n">
        <v>8.470000000000001</v>
      </c>
      <c r="D113" s="11" t="n">
        <v>1</v>
      </c>
      <c r="E113" s="11" t="n">
        <v>1</v>
      </c>
      <c r="F113" s="11" t="n">
        <v>1</v>
      </c>
      <c r="G113" s="11" t="n">
        <v>7.18</v>
      </c>
      <c r="H113" s="11" t="n">
        <v>0</v>
      </c>
      <c r="I113" s="11" t="inlineStr">
        <is>
          <t>53%</t>
        </is>
      </c>
      <c r="J113" s="11" t="inlineStr">
        <is>
          <t>Average</t>
        </is>
      </c>
    </row>
    <row r="114">
      <c r="A114" s="8" t="inlineStr">
        <is>
          <t>AA309RJ MITSUBISHI ASX</t>
        </is>
      </c>
      <c r="B114" s="9" t="inlineStr">
        <is>
          <t>SORO Nibe Drissa</t>
        </is>
      </c>
      <c r="C114" s="9" t="n">
        <v>2.81</v>
      </c>
      <c r="D114" s="9" t="n">
        <v>0</v>
      </c>
      <c r="E114" s="9" t="n">
        <v>2</v>
      </c>
      <c r="F114" s="9" t="n">
        <v>0</v>
      </c>
      <c r="G114" s="9" t="n">
        <v>13.47</v>
      </c>
      <c r="H114" s="9" t="n">
        <v>0</v>
      </c>
      <c r="I114" s="9" t="inlineStr">
        <is>
          <t>29%</t>
        </is>
      </c>
      <c r="J114" s="9" t="inlineStr">
        <is>
          <t>Poor</t>
        </is>
      </c>
    </row>
    <row r="115">
      <c r="A115" s="10" t="inlineStr">
        <is>
          <t>AA956FZ NISSAN NAVARA</t>
        </is>
      </c>
      <c r="B115" s="11" t="inlineStr">
        <is>
          <t>Aboubacar KAMAGATE</t>
        </is>
      </c>
      <c r="C115" s="11" t="n">
        <v>0.47</v>
      </c>
      <c r="D115" s="11" t="n">
        <v>0</v>
      </c>
      <c r="E115" s="11" t="n">
        <v>0</v>
      </c>
      <c r="F115" s="11" t="n">
        <v>0</v>
      </c>
      <c r="G115" s="11" t="n">
        <v>5.68</v>
      </c>
      <c r="H115" s="11" t="n">
        <v>0</v>
      </c>
      <c r="I115" s="11" t="inlineStr">
        <is>
          <t>100%</t>
        </is>
      </c>
      <c r="J115" s="11" t="inlineStr">
        <is>
          <t>Excellent</t>
        </is>
      </c>
    </row>
    <row r="116">
      <c r="A116" s="8" t="inlineStr">
        <is>
          <t>AA609HK Volkswagen Caddy</t>
        </is>
      </c>
      <c r="B116" s="9" t="inlineStr">
        <is>
          <t>SORO Nibe Drissa</t>
        </is>
      </c>
      <c r="C116" s="9" t="n">
        <v>0.39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inlineStr">
        <is>
          <t>100%</t>
        </is>
      </c>
      <c r="J116" s="9" t="inlineStr">
        <is>
          <t>Excellent</t>
        </is>
      </c>
    </row>
  </sheetData>
  <mergeCells count="1">
    <mergeCell ref="A1:J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3" customWidth="1" min="4" max="4"/>
  </cols>
  <sheetData>
    <row r="1">
      <c r="A1" s="1" t="inlineStr">
        <is>
          <t>DÉTAIL CONSOMMATION — ADVANS
Période : 01/05/2026 → 31/05/2026  |  Comafrique Technologies — Support Tracking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5">
      <c r="A5" s="3" t="inlineStr">
        <is>
          <t>Véhicule</t>
        </is>
      </c>
      <c r="B5" s="3" t="inlineStr">
        <is>
          <t>Distance (km)</t>
        </is>
      </c>
      <c r="C5" s="3" t="inlineStr">
        <is>
          <t>Carburant (L)</t>
        </is>
      </c>
      <c r="D5" s="3" t="inlineStr">
        <is>
          <t>Réservoir (L)</t>
        </is>
      </c>
    </row>
    <row r="6">
      <c r="A6" s="8" t="inlineStr">
        <is>
          <t>490LX01 MITSUBISHI L200</t>
        </is>
      </c>
      <c r="B6" s="9" t="n">
        <v>4559.63</v>
      </c>
      <c r="C6" s="9" t="n">
        <v>0</v>
      </c>
      <c r="D6" s="9" t="n">
        <v>75</v>
      </c>
    </row>
    <row r="7">
      <c r="A7" s="10" t="inlineStr">
        <is>
          <t>2740KP01 MITSUBISHI L200</t>
        </is>
      </c>
      <c r="B7" s="11" t="n">
        <v>4115.95</v>
      </c>
      <c r="C7" s="11" t="n">
        <v>0</v>
      </c>
      <c r="D7" s="11" t="n">
        <v>75</v>
      </c>
    </row>
    <row r="8">
      <c r="A8" s="8" t="inlineStr">
        <is>
          <t>AA956FZ NISSAN NAVARA</t>
        </is>
      </c>
      <c r="B8" s="9" t="n">
        <v>3717.16</v>
      </c>
      <c r="C8" s="9" t="n">
        <v>491.4</v>
      </c>
      <c r="D8" s="9" t="n">
        <v>80</v>
      </c>
    </row>
    <row r="9">
      <c r="A9" s="10" t="inlineStr">
        <is>
          <t>493LX01 MITSUBISHI L200</t>
        </is>
      </c>
      <c r="B9" s="11" t="n">
        <v>3637.35</v>
      </c>
      <c r="C9" s="11" t="n">
        <v>0</v>
      </c>
      <c r="D9" s="11" t="n">
        <v>75</v>
      </c>
    </row>
    <row r="10">
      <c r="A10" s="8" t="inlineStr">
        <is>
          <t>2924LH01 MITSUBISHI L200</t>
        </is>
      </c>
      <c r="B10" s="9" t="n">
        <v>3579.71</v>
      </c>
      <c r="C10" s="9" t="n">
        <v>0</v>
      </c>
      <c r="D10" s="9" t="n">
        <v>75</v>
      </c>
    </row>
    <row r="11">
      <c r="A11" s="10" t="inlineStr">
        <is>
          <t>AA831KH CHERY TIGGO 2 PRO</t>
        </is>
      </c>
      <c r="B11" s="11" t="n">
        <v>3370.37</v>
      </c>
      <c r="C11" s="11" t="n">
        <v>281.76</v>
      </c>
      <c r="D11" s="11" t="n">
        <v>48</v>
      </c>
    </row>
    <row r="12">
      <c r="A12" s="8" t="inlineStr">
        <is>
          <t>492LX01 Mitsubishi	L200</t>
        </is>
      </c>
      <c r="B12" s="9" t="n">
        <v>3195.79</v>
      </c>
      <c r="C12" s="9" t="n">
        <v>0</v>
      </c>
      <c r="D12" s="9" t="n">
        <v>75</v>
      </c>
    </row>
    <row r="13">
      <c r="A13" s="10" t="inlineStr">
        <is>
          <t>494LX01 MITSUBISHI L200</t>
        </is>
      </c>
      <c r="B13" s="11" t="n">
        <v>3185.02</v>
      </c>
      <c r="C13" s="11" t="n">
        <v>0</v>
      </c>
      <c r="D13" s="11" t="n">
        <v>75</v>
      </c>
    </row>
    <row r="14">
      <c r="A14" s="8" t="inlineStr">
        <is>
          <t>AA362RJ MITSUBISHI L200</t>
        </is>
      </c>
      <c r="B14" s="9" t="n">
        <v>3165.1</v>
      </c>
      <c r="C14" s="9" t="n">
        <v>428.25</v>
      </c>
      <c r="D14" s="9" t="n">
        <v>75</v>
      </c>
    </row>
    <row r="15">
      <c r="A15" s="10" t="inlineStr">
        <is>
          <t>903WWCI01 MITSUBISHI ECLIPSE</t>
        </is>
      </c>
      <c r="B15" s="11" t="n">
        <v>3120.41</v>
      </c>
      <c r="C15" s="11" t="n">
        <v>0</v>
      </c>
      <c r="D15" s="11" t="n">
        <v>60</v>
      </c>
    </row>
    <row r="16">
      <c r="A16" s="8" t="inlineStr">
        <is>
          <t>909WWCI01 Mitsubishi L200</t>
        </is>
      </c>
      <c r="B16" s="9" t="n">
        <v>2709.84</v>
      </c>
      <c r="C16" s="9" t="n">
        <v>479.25</v>
      </c>
      <c r="D16" s="9" t="n">
        <v>75</v>
      </c>
    </row>
    <row r="17">
      <c r="A17" s="10" t="inlineStr">
        <is>
          <t>779LG01 RENAULT DUSTER</t>
        </is>
      </c>
      <c r="B17" s="11" t="n">
        <v>2583.42</v>
      </c>
      <c r="C17" s="11" t="n">
        <v>228.9</v>
      </c>
      <c r="D17" s="11" t="n">
        <v>50</v>
      </c>
    </row>
    <row r="18">
      <c r="A18" s="8" t="inlineStr">
        <is>
          <t>AA338EY TOYOTA URBAN CRUISER</t>
        </is>
      </c>
      <c r="B18" s="9" t="n">
        <v>2537.14</v>
      </c>
      <c r="C18" s="9" t="n">
        <v>0</v>
      </c>
      <c r="D18" s="9" t="n">
        <v>45</v>
      </c>
    </row>
    <row r="19">
      <c r="A19" s="10" t="inlineStr">
        <is>
          <t>AA537RK MITSUBISHI ASX</t>
        </is>
      </c>
      <c r="B19" s="11" t="n">
        <v>2521.13</v>
      </c>
      <c r="C19" s="11" t="n">
        <v>0</v>
      </c>
      <c r="D19" s="11" t="n">
        <v>48</v>
      </c>
    </row>
    <row r="20">
      <c r="A20" s="8" t="inlineStr">
        <is>
          <t>AA609HK Volkswagen Caddy</t>
        </is>
      </c>
      <c r="B20" s="9" t="n">
        <v>2334.93</v>
      </c>
      <c r="C20" s="9" t="n">
        <v>181</v>
      </c>
      <c r="D20" s="9" t="n">
        <v>50</v>
      </c>
    </row>
    <row r="21">
      <c r="A21" s="10" t="inlineStr">
        <is>
          <t>2352LC01 MITSUBISHI L200</t>
        </is>
      </c>
      <c r="B21" s="11" t="n">
        <v>2284.03</v>
      </c>
      <c r="C21" s="11" t="n">
        <v>0</v>
      </c>
      <c r="D21" s="11" t="n">
        <v>75</v>
      </c>
    </row>
    <row r="22">
      <c r="A22" s="8" t="inlineStr">
        <is>
          <t>904WWCI01 MITSUBISHI ECLIPSE CROSS</t>
        </is>
      </c>
      <c r="B22" s="9" t="n">
        <v>2281.71</v>
      </c>
      <c r="C22" s="9" t="n">
        <v>0</v>
      </c>
      <c r="D22" s="9" t="n">
        <v>60</v>
      </c>
    </row>
    <row r="23">
      <c r="A23" s="10" t="inlineStr">
        <is>
          <t>AB592AZ MITSUBISHI L200</t>
        </is>
      </c>
      <c r="B23" s="11" t="n">
        <v>2224.67</v>
      </c>
      <c r="C23" s="11" t="n">
        <v>313.12</v>
      </c>
      <c r="D23" s="11" t="n">
        <v>76</v>
      </c>
    </row>
    <row r="24">
      <c r="A24" s="8" t="inlineStr">
        <is>
          <t>2722LU01 MITSUBISHI ASX</t>
        </is>
      </c>
      <c r="B24" s="9" t="n">
        <v>2214.91</v>
      </c>
      <c r="C24" s="9" t="n">
        <v>0</v>
      </c>
      <c r="D24" s="9" t="n">
        <v>48</v>
      </c>
    </row>
    <row r="25">
      <c r="A25" s="10" t="inlineStr">
        <is>
          <t>3649LP01 Renault DUSTER</t>
        </is>
      </c>
      <c r="B25" s="11" t="n">
        <v>1931.48</v>
      </c>
      <c r="C25" s="11" t="n">
        <v>150</v>
      </c>
      <c r="D25" s="11" t="n">
        <v>50</v>
      </c>
    </row>
    <row r="26">
      <c r="A26" s="8" t="inlineStr">
        <is>
          <t>3648LP01 Renault DUSTER</t>
        </is>
      </c>
      <c r="B26" s="9" t="n">
        <v>1878.65</v>
      </c>
      <c r="C26" s="9" t="n">
        <v>201.7</v>
      </c>
      <c r="D26" s="9" t="n">
        <v>50</v>
      </c>
    </row>
    <row r="27">
      <c r="A27" s="10" t="inlineStr">
        <is>
          <t>907WWCI01 Mitsubishi L200</t>
        </is>
      </c>
      <c r="B27" s="11" t="n">
        <v>1839.3</v>
      </c>
      <c r="C27" s="11" t="n">
        <v>278.25</v>
      </c>
      <c r="D27" s="11" t="n">
        <v>75</v>
      </c>
    </row>
    <row r="28">
      <c r="A28" s="8" t="inlineStr">
        <is>
          <t>1927LF01 NISSAN MICRA</t>
        </is>
      </c>
      <c r="B28" s="9" t="n">
        <v>1815.38</v>
      </c>
      <c r="C28" s="9" t="n">
        <v>404.2</v>
      </c>
      <c r="D28" s="9" t="n">
        <v>40</v>
      </c>
    </row>
    <row r="29">
      <c r="A29" s="10" t="inlineStr">
        <is>
          <t>3782LU01 Suzuki Dzire</t>
        </is>
      </c>
      <c r="B29" s="11" t="n">
        <v>1765.72</v>
      </c>
      <c r="C29" s="11" t="n">
        <v>0</v>
      </c>
      <c r="D29" s="11" t="n">
        <v>37</v>
      </c>
    </row>
    <row r="30">
      <c r="A30" s="8" t="inlineStr">
        <is>
          <t>AA307RJ MITSUBISHI ASX</t>
        </is>
      </c>
      <c r="B30" s="9" t="n">
        <v>1720.45</v>
      </c>
      <c r="C30" s="9" t="n">
        <v>0</v>
      </c>
      <c r="D30" s="9" t="n">
        <v>48</v>
      </c>
    </row>
    <row r="31">
      <c r="A31" s="10" t="inlineStr">
        <is>
          <t>AA364EY TOYOTA URBAN CRUISER</t>
        </is>
      </c>
      <c r="B31" s="11" t="n">
        <v>1626.78</v>
      </c>
      <c r="C31" s="11" t="n">
        <v>0</v>
      </c>
      <c r="D31" s="11" t="n">
        <v>45</v>
      </c>
    </row>
    <row r="32">
      <c r="A32" s="8" t="inlineStr">
        <is>
          <t>AA889EZ TOYOTA URBAN Cruiser</t>
        </is>
      </c>
      <c r="B32" s="9" t="n">
        <v>1621.05</v>
      </c>
      <c r="C32" s="9" t="n">
        <v>0</v>
      </c>
      <c r="D32" s="9" t="n">
        <v>45</v>
      </c>
    </row>
    <row r="33">
      <c r="A33" s="10" t="inlineStr">
        <is>
          <t>3919LF01 RENAULT DUSTER</t>
        </is>
      </c>
      <c r="B33" s="11" t="n">
        <v>1572.91</v>
      </c>
      <c r="C33" s="11" t="n">
        <v>183.3</v>
      </c>
      <c r="D33" s="11" t="n">
        <v>50</v>
      </c>
    </row>
    <row r="34">
      <c r="A34" s="8" t="inlineStr">
        <is>
          <t>AA309RJ MITSUBISHI ASX</t>
        </is>
      </c>
      <c r="B34" s="9" t="n">
        <v>1484.35</v>
      </c>
      <c r="C34" s="9" t="n">
        <v>0</v>
      </c>
      <c r="D34" s="9" t="n">
        <v>48</v>
      </c>
    </row>
    <row r="35">
      <c r="A35" s="10" t="inlineStr">
        <is>
          <t>1923LF01 NISSAN MICRA</t>
        </is>
      </c>
      <c r="B35" s="11" t="n">
        <v>1234.1</v>
      </c>
      <c r="C35" s="11" t="n">
        <v>269.6</v>
      </c>
      <c r="D35" s="11" t="n">
        <v>40</v>
      </c>
    </row>
    <row r="36">
      <c r="A36" s="8" t="inlineStr">
        <is>
          <t>AA529SB Mitsubishi ASX</t>
        </is>
      </c>
      <c r="B36" s="9" t="n">
        <v>1183.06</v>
      </c>
      <c r="C36" s="9" t="n">
        <v>0</v>
      </c>
      <c r="D36" s="9" t="n">
        <v>48</v>
      </c>
    </row>
    <row r="37">
      <c r="A37" s="10" t="inlineStr">
        <is>
          <t>491LX01 Mitsubishi L200</t>
        </is>
      </c>
      <c r="B37" s="11" t="n">
        <v>1103.12</v>
      </c>
      <c r="C37" s="11" t="n">
        <v>0</v>
      </c>
      <c r="D37" s="11" t="n">
        <v>75</v>
      </c>
    </row>
    <row r="38">
      <c r="A38" s="8" t="inlineStr">
        <is>
          <t>AA612QA Suzuki GRAND Vitara</t>
        </is>
      </c>
      <c r="B38" s="9" t="n">
        <v>1080.18</v>
      </c>
      <c r="C38" s="9" t="n">
        <v>0</v>
      </c>
      <c r="D38" s="9" t="n">
        <v>45</v>
      </c>
    </row>
    <row r="39">
      <c r="A39" s="10" t="inlineStr">
        <is>
          <t>905WWCI01 MITSUBISHI ECLIPSE</t>
        </is>
      </c>
      <c r="B39" s="11" t="n">
        <v>1018.85</v>
      </c>
      <c r="C39" s="11" t="n">
        <v>0</v>
      </c>
      <c r="D39" s="11" t="n">
        <v>60</v>
      </c>
    </row>
    <row r="40">
      <c r="A40" s="8" t="inlineStr">
        <is>
          <t>AA885EZ Toyota Belta</t>
        </is>
      </c>
      <c r="B40" s="9" t="n">
        <v>922.14</v>
      </c>
      <c r="C40" s="9" t="n">
        <v>0</v>
      </c>
      <c r="D40" s="9" t="n">
        <v>42</v>
      </c>
    </row>
    <row r="41">
      <c r="A41" s="10" t="inlineStr">
        <is>
          <t>AA744FC SUZUKI DZIRE</t>
        </is>
      </c>
      <c r="B41" s="11" t="n">
        <v>898.22</v>
      </c>
      <c r="C41" s="11" t="n">
        <v>0</v>
      </c>
      <c r="D41" s="11" t="n">
        <v>37</v>
      </c>
    </row>
    <row r="42">
      <c r="A42" s="8" t="inlineStr">
        <is>
          <t>607LE01 NISSAN MICRA</t>
        </is>
      </c>
      <c r="B42" s="9" t="n">
        <v>896.02</v>
      </c>
      <c r="C42" s="9" t="n">
        <v>217.2</v>
      </c>
      <c r="D42" s="9" t="n">
        <v>40</v>
      </c>
    </row>
    <row r="43">
      <c r="A43" s="10" t="inlineStr">
        <is>
          <t>1925LF01 NISSAN MICRA</t>
        </is>
      </c>
      <c r="B43" s="11" t="n">
        <v>833.47</v>
      </c>
      <c r="C43" s="11" t="n">
        <v>184.8</v>
      </c>
      <c r="D43" s="11" t="n">
        <v>40</v>
      </c>
    </row>
    <row r="44">
      <c r="A44" s="8" t="inlineStr">
        <is>
          <t>AA878EZ TOYOTA BELTA</t>
        </is>
      </c>
      <c r="B44" s="9" t="n">
        <v>768.65</v>
      </c>
      <c r="C44" s="9" t="n">
        <v>0</v>
      </c>
      <c r="D44" s="9" t="n">
        <v>42</v>
      </c>
    </row>
    <row r="45">
      <c r="A45" s="10" t="inlineStr">
        <is>
          <t>716LY01 SUZUKI S-PRESSO</t>
        </is>
      </c>
      <c r="B45" s="11" t="n">
        <v>765.45</v>
      </c>
      <c r="C45" s="11" t="n">
        <v>0</v>
      </c>
      <c r="D45" s="11" t="n">
        <v>27</v>
      </c>
    </row>
    <row r="46">
      <c r="A46" s="8" t="inlineStr">
        <is>
          <t>3932LU01 Suzuki Dzire</t>
        </is>
      </c>
      <c r="B46" s="9" t="n">
        <v>697.9</v>
      </c>
      <c r="C46" s="9" t="n">
        <v>0</v>
      </c>
      <c r="D46" s="9" t="n">
        <v>37</v>
      </c>
    </row>
    <row r="47">
      <c r="A47" s="10" t="inlineStr">
        <is>
          <t>1924LF01 NISSAN MICRA</t>
        </is>
      </c>
      <c r="B47" s="11" t="n">
        <v>614.8</v>
      </c>
      <c r="C47" s="11" t="n">
        <v>218.3</v>
      </c>
      <c r="D47" s="11" t="n">
        <v>40</v>
      </c>
    </row>
    <row r="48">
      <c r="A48" s="8" t="inlineStr">
        <is>
          <t>2168LY01  Mitsubishi ASX</t>
        </is>
      </c>
      <c r="B48" s="9" t="n">
        <v>576.58</v>
      </c>
      <c r="C48" s="9" t="n">
        <v>0</v>
      </c>
      <c r="D48" s="9" t="n">
        <v>48</v>
      </c>
    </row>
    <row r="49">
      <c r="A49" s="10" t="inlineStr">
        <is>
          <t>3261KG01 Renault DUSTER</t>
        </is>
      </c>
      <c r="B49" s="11" t="n">
        <v>570.45</v>
      </c>
      <c r="C49" s="11" t="n">
        <v>64.5</v>
      </c>
      <c r="D49" s="11" t="n">
        <v>50</v>
      </c>
    </row>
    <row r="50">
      <c r="A50" s="8" t="inlineStr">
        <is>
          <t>100LX01 RENAULT KOLEOS</t>
        </is>
      </c>
      <c r="B50" s="9" t="n">
        <v>512.58</v>
      </c>
      <c r="C50" s="9" t="n">
        <v>66</v>
      </c>
      <c r="D50" s="9" t="n">
        <v>60</v>
      </c>
    </row>
    <row r="51">
      <c r="A51" s="10" t="inlineStr">
        <is>
          <t>1926LF01 NISSAN MICRA</t>
        </is>
      </c>
      <c r="B51" s="11" t="n">
        <v>479.89</v>
      </c>
      <c r="C51" s="11" t="n">
        <v>134</v>
      </c>
      <c r="D51" s="11" t="n">
        <v>40</v>
      </c>
    </row>
    <row r="52">
      <c r="A52" s="8" t="inlineStr">
        <is>
          <t>2169LY01 MITSUBISHI ASX</t>
        </is>
      </c>
      <c r="B52" s="9" t="n">
        <v>387.06</v>
      </c>
      <c r="C52" s="9" t="n">
        <v>0</v>
      </c>
      <c r="D52" s="9" t="n">
        <v>48</v>
      </c>
    </row>
    <row r="53">
      <c r="A53" s="10" t="inlineStr">
        <is>
          <t>AA881EZ Toyota Belta</t>
        </is>
      </c>
      <c r="B53" s="11" t="n">
        <v>379.79</v>
      </c>
      <c r="C53" s="11" t="n">
        <v>0</v>
      </c>
      <c r="D53" s="11" t="n">
        <v>43</v>
      </c>
    </row>
    <row r="54">
      <c r="A54" s="8" t="inlineStr">
        <is>
          <t>AA364FH TOYOTA HILUX</t>
        </is>
      </c>
      <c r="B54" s="9" t="n">
        <v>371.02</v>
      </c>
      <c r="C54" s="9" t="n">
        <v>65.59999999999999</v>
      </c>
      <c r="D54" s="9" t="n">
        <v>80</v>
      </c>
    </row>
    <row r="55">
      <c r="A55" s="10" t="inlineStr">
        <is>
          <t>AA876EZ Toyota Belta</t>
        </is>
      </c>
      <c r="B55" s="11" t="n">
        <v>337.09</v>
      </c>
      <c r="C55" s="11" t="n">
        <v>0</v>
      </c>
      <c r="D55" s="11" t="n">
        <v>43</v>
      </c>
    </row>
    <row r="56">
      <c r="A56" s="8" t="inlineStr">
        <is>
          <t>3908LF01 RENAULT DUSTER</t>
        </is>
      </c>
      <c r="B56" s="9" t="n">
        <v>141.86</v>
      </c>
      <c r="C56" s="9" t="n">
        <v>15</v>
      </c>
      <c r="D56" s="9" t="n">
        <v>50</v>
      </c>
    </row>
    <row r="57">
      <c r="A57" s="10" t="inlineStr">
        <is>
          <t>1928LF01 NISSAN MICRA</t>
        </is>
      </c>
      <c r="B57" s="11" t="n">
        <v>39.59</v>
      </c>
      <c r="C57" s="11" t="n">
        <v>10.4</v>
      </c>
      <c r="D57" s="11" t="n">
        <v>40</v>
      </c>
    </row>
    <row r="58">
      <c r="A58" s="8" t="inlineStr">
        <is>
          <t>AB588AZ MITSUBISHI L200</t>
        </is>
      </c>
      <c r="B58" s="9" t="n">
        <v>26.02</v>
      </c>
      <c r="C58" s="9" t="n">
        <v>3.75</v>
      </c>
      <c r="D58" s="9" t="n">
        <v>75</v>
      </c>
    </row>
  </sheetData>
  <mergeCells count="1">
    <mergeCell ref="A1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2026-06-02T16:00:38Z</dcterms:created>
  <dcterms:modified xmlns:dcterms="http://purl.org/dc/terms/" xmlns:xsi="http://www.w3.org/2001/XMLSchema-instance" xsi:type="dcterms:W3CDTF">2026-06-02T16:00:38Z</dcterms:modified>
</cp:coreProperties>
</file>